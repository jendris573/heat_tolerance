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e/Documents/College/02- R code/2- heating/data/"/>
    </mc:Choice>
  </mc:AlternateContent>
  <xr:revisionPtr revIDLastSave="0" documentId="13_ncr:1_{7D22A1D3-89AF-064F-AA21-CBA611ED3E3B}" xr6:coauthVersionLast="47" xr6:coauthVersionMax="47" xr10:uidLastSave="{00000000-0000-0000-0000-000000000000}"/>
  <bookViews>
    <workbookView xWindow="-38400" yWindow="0" windowWidth="38400" windowHeight="21600" activeTab="11" xr2:uid="{00000000-000D-0000-FFFF-FFFF00000000}"/>
  </bookViews>
  <sheets>
    <sheet name="June_2022" sheetId="1" r:id="rId1"/>
    <sheet name="June_2023" sheetId="2" r:id="rId2"/>
    <sheet name="July_2022" sheetId="3" r:id="rId3"/>
    <sheet name="July_2023" sheetId="4" r:id="rId4"/>
    <sheet name="Sept_2023" sheetId="5" r:id="rId5"/>
    <sheet name="leaf_June_2022" sheetId="7" r:id="rId6"/>
    <sheet name="leaf_July_2022" sheetId="8" r:id="rId7"/>
    <sheet name="leaf_June_2023" sheetId="9" r:id="rId8"/>
    <sheet name="leaf_July_2023" sheetId="10" r:id="rId9"/>
    <sheet name="Leaf temperature table" sheetId="11" r:id="rId10"/>
    <sheet name="Air temperature table" sheetId="12" r:id="rId11"/>
    <sheet name="Thermal Safety Margins" sheetId="13" r:id="rId12"/>
  </sheets>
  <definedNames>
    <definedName name="_xlnm._FilterDatabase" localSheetId="10" hidden="1">'Air temperature table'!$B$2:$M$13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3" l="1"/>
  <c r="F45" i="13"/>
  <c r="F44" i="13"/>
  <c r="F43" i="13"/>
  <c r="F42" i="13"/>
  <c r="F41" i="13"/>
  <c r="F40" i="13"/>
  <c r="F39" i="13"/>
  <c r="F38" i="13"/>
  <c r="F37" i="13"/>
  <c r="F36" i="13"/>
  <c r="F35" i="13"/>
  <c r="F34" i="13"/>
  <c r="F33" i="13"/>
  <c r="F32" i="13"/>
  <c r="F31" i="13"/>
  <c r="F30" i="13"/>
  <c r="F29" i="13"/>
  <c r="F28" i="13"/>
  <c r="F27" i="13"/>
  <c r="F26" i="13"/>
  <c r="F25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F9" i="13"/>
  <c r="F8" i="13"/>
  <c r="F7" i="13"/>
  <c r="F6" i="13"/>
  <c r="F5" i="13"/>
  <c r="F4" i="13"/>
  <c r="F3" i="13"/>
  <c r="F2" i="13"/>
</calcChain>
</file>

<file path=xl/sharedStrings.xml><?xml version="1.0" encoding="utf-8"?>
<sst xmlns="http://schemas.openxmlformats.org/spreadsheetml/2006/main" count="370" uniqueCount="78">
  <si>
    <t>species</t>
  </si>
  <si>
    <t>absolute high (tcrit)</t>
  </si>
  <si>
    <t>June absolute (tcrit)</t>
  </si>
  <si>
    <t>June 2022 (tcrit)</t>
  </si>
  <si>
    <t>absolute high (T50)</t>
  </si>
  <si>
    <t>June absolute (T50)</t>
  </si>
  <si>
    <t>June 2022 (T50)</t>
  </si>
  <si>
    <t>absolute high (T95)</t>
  </si>
  <si>
    <t>June absolute (T95)</t>
  </si>
  <si>
    <t>June 2022 (T95)</t>
  </si>
  <si>
    <t>Acer saccharum</t>
  </si>
  <si>
    <t>Celtis laevigata</t>
  </si>
  <si>
    <t>Fagus grandifolia</t>
  </si>
  <si>
    <t>Juglans nigra</t>
  </si>
  <si>
    <t>Liquidambar styraciflua</t>
  </si>
  <si>
    <t>Liriodendron tulipifera</t>
  </si>
  <si>
    <t>Ostrya virginiana</t>
  </si>
  <si>
    <t>Prunus serotina</t>
  </si>
  <si>
    <t>Quercus falcata</t>
  </si>
  <si>
    <t>Quercus montana</t>
  </si>
  <si>
    <t>Ulmus americana</t>
  </si>
  <si>
    <t>June 2023 (tcrit)</t>
  </si>
  <si>
    <t>June 2023 (T50)</t>
  </si>
  <si>
    <t>June 2023 (T95)</t>
  </si>
  <si>
    <t>July absolute (tcrit)</t>
  </si>
  <si>
    <t>July 2022 (tcrit)</t>
  </si>
  <si>
    <t>July absolute (T50)</t>
  </si>
  <si>
    <t>July 2022 (T50)</t>
  </si>
  <si>
    <t>July absolute (T95)</t>
  </si>
  <si>
    <t>July 2022 (T95)</t>
  </si>
  <si>
    <t>Leaf Temp (tcrit)</t>
  </si>
  <si>
    <t>Leaf Temp (T50)</t>
  </si>
  <si>
    <t>Leaf Temp (T95)</t>
  </si>
  <si>
    <t>July 2023 (tcrit)</t>
  </si>
  <si>
    <t>July 2023 (T50)</t>
  </si>
  <si>
    <t>July 2023 (T95)</t>
  </si>
  <si>
    <t>September absolute (tcrit)</t>
  </si>
  <si>
    <t>September 2023 (tcrit)</t>
  </si>
  <si>
    <t>September absolute (T50)</t>
  </si>
  <si>
    <t>September 2023 (T50)</t>
  </si>
  <si>
    <t>September absolute (T95)</t>
  </si>
  <si>
    <t>September 2023 (T95)</t>
  </si>
  <si>
    <t>Ulmus rubra</t>
  </si>
  <si>
    <t>Leaf June 22(tcrit)</t>
  </si>
  <si>
    <t>Leaf June 22 (T50)</t>
  </si>
  <si>
    <t>Leaf June 22 (T95)</t>
  </si>
  <si>
    <t>Leaf July 22(tcrit)</t>
  </si>
  <si>
    <t>Leaf July 22 (T50)</t>
  </si>
  <si>
    <t>Leaf July 22 (T95)</t>
  </si>
  <si>
    <t>Leaf June 23(tcrit)</t>
  </si>
  <si>
    <t>Leaf June 23 (T50)</t>
  </si>
  <si>
    <t>Leaf June 23 (T95)</t>
  </si>
  <si>
    <t>Leaf July 23(tcrit)</t>
  </si>
  <si>
    <t>Leaf July 23 (T50)</t>
  </si>
  <si>
    <t>Leaf July 23 (T95)</t>
  </si>
  <si>
    <t>Species</t>
  </si>
  <si>
    <t>&lt;0.001</t>
  </si>
  <si>
    <t>&gt;0.999</t>
  </si>
  <si>
    <t>Leaf temperatures</t>
  </si>
  <si>
    <t>June 2022</t>
  </si>
  <si>
    <t>July 2022</t>
  </si>
  <si>
    <t>June 2023</t>
  </si>
  <si>
    <t>July 2023</t>
  </si>
  <si>
    <t>Sample period</t>
  </si>
  <si>
    <t>Record high</t>
  </si>
  <si>
    <t>Record June high</t>
  </si>
  <si>
    <t>Record July high</t>
  </si>
  <si>
    <t>June 2023 high</t>
  </si>
  <si>
    <t>July 2023 high</t>
  </si>
  <si>
    <t>July 2022 high</t>
  </si>
  <si>
    <t>June 2022 high</t>
  </si>
  <si>
    <t>Month</t>
  </si>
  <si>
    <t>Year</t>
  </si>
  <si>
    <t>leaf_temp</t>
  </si>
  <si>
    <t>mean_tcrit</t>
  </si>
  <si>
    <t>difference</t>
  </si>
  <si>
    <t>June</t>
  </si>
  <si>
    <t>July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</si>
</sst>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indexed="8"/>
      <name val="Calibri"/>
      <family val="2"/>
      <scheme val="minor"/>
    </font>
    <font>
      <i/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49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49" fontId="0" fillId="0" borderId="0" xfId="0" applyNumberFormat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17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wrapText="1"/>
    </xf>
  </cellXfs>
  <cellStyles count="1">
    <cellStyle name="Normal" xfId="0" builtinId="0"/>
  </cellStyles>
  <dxfs count="3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23EA5-2325-434B-921E-4888F3AE2CCE}">
  <dimension ref="A1:J12"/>
  <sheetViews>
    <sheetView zoomScale="130" zoomScaleNormal="130" workbookViewId="0">
      <selection sqref="A1:D12"/>
    </sheetView>
  </sheetViews>
  <sheetFormatPr baseColWidth="10" defaultColWidth="8.83203125" defaultRowHeight="15" x14ac:dyDescent="0.2"/>
  <cols>
    <col min="1" max="1" width="22" bestFit="1" customWidth="1" collapsed="1"/>
    <col min="2" max="2" width="18.6640625" bestFit="1" customWidth="1" collapsed="1"/>
    <col min="3" max="3" width="19" bestFit="1" customWidth="1" collapsed="1"/>
    <col min="4" max="4" width="15.1640625" bestFit="1" customWidth="1" collapsed="1"/>
    <col min="5" max="5" width="18.1640625" bestFit="1" customWidth="1" collapsed="1"/>
    <col min="6" max="6" width="18.5" bestFit="1" customWidth="1" collapsed="1"/>
    <col min="7" max="7" width="14.6640625" bestFit="1" customWidth="1" collapsed="1"/>
    <col min="8" max="8" width="18.1640625" bestFit="1" customWidth="1" collapsed="1"/>
    <col min="9" max="9" width="18.5" bestFit="1" customWidth="1" collapsed="1"/>
    <col min="10" max="10" width="14.6640625" bestFit="1" customWidth="1" collapsed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t="s">
        <v>10</v>
      </c>
      <c r="B2">
        <v>0.13900000000000001</v>
      </c>
      <c r="C2">
        <v>1.9E-2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">
      <c r="A3" t="s">
        <v>11</v>
      </c>
      <c r="B3">
        <v>0.41699999999999998</v>
      </c>
      <c r="C3">
        <v>0.16200000000000001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">
      <c r="A4" t="s">
        <v>12</v>
      </c>
      <c r="B4">
        <v>0.56399999999999995</v>
      </c>
      <c r="C4">
        <v>0.157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">
      <c r="A5" t="s">
        <v>13</v>
      </c>
      <c r="B5">
        <v>0.93200000000000005</v>
      </c>
      <c r="C5">
        <v>0.64100000000000001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">
      <c r="A6" t="s">
        <v>14</v>
      </c>
      <c r="B6">
        <v>0.73499999999999999</v>
      </c>
      <c r="C6">
        <v>0.39100000000000001</v>
      </c>
      <c r="D6">
        <v>1E-3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">
      <c r="A7" t="s">
        <v>15</v>
      </c>
      <c r="B7">
        <v>0.73899999999999999</v>
      </c>
      <c r="C7">
        <v>0.39600000000000002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2">
      <c r="A8" t="s">
        <v>16</v>
      </c>
      <c r="B8">
        <v>0.496</v>
      </c>
      <c r="C8">
        <v>0.13300000000000001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 x14ac:dyDescent="0.2">
      <c r="A9" t="s">
        <v>17</v>
      </c>
      <c r="B9">
        <v>0.92900000000000005</v>
      </c>
      <c r="C9">
        <v>0.626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 x14ac:dyDescent="0.2">
      <c r="A10" t="s">
        <v>18</v>
      </c>
      <c r="B10">
        <v>2.1999999999999999E-2</v>
      </c>
      <c r="C10">
        <v>1E-3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">
      <c r="A11" t="s">
        <v>19</v>
      </c>
      <c r="B11">
        <v>0.60660000000000003</v>
      </c>
      <c r="C11">
        <v>0.30930000000000002</v>
      </c>
      <c r="D11">
        <v>4.0000000000000001E-3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">
      <c r="A12" t="s">
        <v>20</v>
      </c>
      <c r="B12">
        <v>0.91049999999999998</v>
      </c>
      <c r="C12">
        <v>0.78669999999999995</v>
      </c>
      <c r="D12">
        <v>0.19320000000000001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B27CB-D8BB-4E46-ADAD-0AE8D850274C}">
  <dimension ref="A1:J12"/>
  <sheetViews>
    <sheetView workbookViewId="0">
      <selection activeCell="B1" sqref="B1:D12"/>
    </sheetView>
  </sheetViews>
  <sheetFormatPr baseColWidth="10" defaultColWidth="8.83203125" defaultRowHeight="15" x14ac:dyDescent="0.2"/>
  <cols>
    <col min="1" max="1" width="22" bestFit="1" customWidth="1" collapsed="1"/>
    <col min="2" max="2" width="18.6640625" bestFit="1" customWidth="1" collapsed="1"/>
    <col min="3" max="3" width="19" bestFit="1" customWidth="1" collapsed="1"/>
    <col min="4" max="4" width="15.1640625" bestFit="1" customWidth="1" collapsed="1"/>
    <col min="5" max="5" width="18.1640625" bestFit="1" customWidth="1" collapsed="1"/>
    <col min="6" max="6" width="18.5" bestFit="1" customWidth="1" collapsed="1"/>
    <col min="7" max="7" width="14.5" bestFit="1" customWidth="1" collapsed="1"/>
    <col min="8" max="8" width="18.1640625" bestFit="1" customWidth="1" collapsed="1"/>
    <col min="9" max="9" width="18.5" bestFit="1" customWidth="1" collapsed="1"/>
    <col min="10" max="10" width="14.5" bestFit="1" customWidth="1" collapsed="1"/>
  </cols>
  <sheetData>
    <row r="1" spans="1:10" x14ac:dyDescent="0.2">
      <c r="A1" t="s">
        <v>0</v>
      </c>
      <c r="B1" t="s">
        <v>1</v>
      </c>
      <c r="C1" t="s">
        <v>2</v>
      </c>
      <c r="D1" t="s">
        <v>21</v>
      </c>
      <c r="E1" t="s">
        <v>4</v>
      </c>
      <c r="F1" t="s">
        <v>5</v>
      </c>
      <c r="G1" t="s">
        <v>22</v>
      </c>
      <c r="H1" t="s">
        <v>7</v>
      </c>
      <c r="I1" t="s">
        <v>8</v>
      </c>
      <c r="J1" t="s">
        <v>23</v>
      </c>
    </row>
    <row r="2" spans="1:10" x14ac:dyDescent="0.2">
      <c r="A2" t="s">
        <v>10</v>
      </c>
      <c r="B2">
        <v>0.75600000000000001</v>
      </c>
      <c r="C2">
        <v>0.35599999999999998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">
      <c r="A3" t="s">
        <v>11</v>
      </c>
      <c r="B3">
        <v>0.90100000000000002</v>
      </c>
      <c r="C3">
        <v>0.65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">
      <c r="A4" t="s">
        <v>12</v>
      </c>
      <c r="B4">
        <v>0.96699999999999997</v>
      </c>
      <c r="C4">
        <v>0.81699999999999995</v>
      </c>
      <c r="D4">
        <v>7.3999999999999996E-2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">
      <c r="A5" t="s">
        <v>13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">
      <c r="A6" t="s">
        <v>14</v>
      </c>
      <c r="B6">
        <v>0.44400000000000001</v>
      </c>
      <c r="C6">
        <v>0.156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">
      <c r="A7" t="s">
        <v>15</v>
      </c>
      <c r="B7">
        <v>0.996</v>
      </c>
      <c r="C7">
        <v>0.98799999999999999</v>
      </c>
      <c r="D7">
        <v>0.215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2">
      <c r="A8" t="s">
        <v>16</v>
      </c>
      <c r="B8">
        <v>0.91959999999999997</v>
      </c>
      <c r="C8">
        <v>0.81789999999999996</v>
      </c>
      <c r="D8">
        <v>0.17699999999999999</v>
      </c>
      <c r="E8">
        <v>1.4200000000000001E-2</v>
      </c>
      <c r="F8">
        <v>0</v>
      </c>
      <c r="G8">
        <v>0</v>
      </c>
      <c r="H8">
        <v>0</v>
      </c>
      <c r="I8">
        <v>0</v>
      </c>
      <c r="J8">
        <v>0</v>
      </c>
    </row>
    <row r="9" spans="1:10" x14ac:dyDescent="0.2">
      <c r="A9" t="s">
        <v>17</v>
      </c>
      <c r="B9">
        <v>0.47439999999999999</v>
      </c>
      <c r="C9">
        <v>0.39500000000000002</v>
      </c>
      <c r="D9">
        <v>0.28339999999999999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 x14ac:dyDescent="0.2">
      <c r="A10" t="s">
        <v>18</v>
      </c>
      <c r="B10">
        <v>1</v>
      </c>
      <c r="C10">
        <v>1</v>
      </c>
      <c r="D10">
        <v>0.26700000000000002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">
      <c r="A11" t="s">
        <v>19</v>
      </c>
      <c r="B11">
        <v>1</v>
      </c>
      <c r="C11">
        <v>0.94799999999999995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">
      <c r="A12" t="s">
        <v>20</v>
      </c>
      <c r="B12">
        <v>0.85289999999999999</v>
      </c>
      <c r="C12">
        <v>0.67869999999999997</v>
      </c>
      <c r="D12">
        <v>0.15720000000000001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90E0E-E5C9-4C00-871A-58F89E091DCC}">
  <dimension ref="A1:M12"/>
  <sheetViews>
    <sheetView zoomScale="120" zoomScaleNormal="120" workbookViewId="0">
      <selection activeCell="B1" sqref="B1:D12"/>
    </sheetView>
  </sheetViews>
  <sheetFormatPr baseColWidth="10" defaultColWidth="8.83203125" defaultRowHeight="15" x14ac:dyDescent="0.2"/>
  <cols>
    <col min="1" max="1" width="15.5" customWidth="1" collapsed="1"/>
    <col min="2" max="2" width="18.6640625" bestFit="1" customWidth="1" collapsed="1"/>
    <col min="3" max="3" width="18.33203125" bestFit="1" customWidth="1" collapsed="1"/>
    <col min="4" max="13" width="15.5" customWidth="1" collapsed="1"/>
  </cols>
  <sheetData>
    <row r="1" spans="1:13" x14ac:dyDescent="0.2">
      <c r="A1" t="s">
        <v>0</v>
      </c>
      <c r="B1" t="s">
        <v>1</v>
      </c>
      <c r="C1" t="s">
        <v>24</v>
      </c>
      <c r="D1" t="s">
        <v>25</v>
      </c>
      <c r="E1" t="s">
        <v>4</v>
      </c>
      <c r="F1" t="s">
        <v>26</v>
      </c>
      <c r="G1" t="s">
        <v>27</v>
      </c>
      <c r="H1" t="s">
        <v>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</row>
    <row r="2" spans="1:13" x14ac:dyDescent="0.2">
      <c r="A2" t="s">
        <v>10</v>
      </c>
      <c r="B2">
        <v>0.16220000000000001</v>
      </c>
      <c r="C2">
        <v>1.9E-2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2">
      <c r="A3" t="s">
        <v>11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13" x14ac:dyDescent="0.2">
      <c r="A4" t="s">
        <v>12</v>
      </c>
      <c r="B4">
        <v>1E-3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2.5999999999999999E-2</v>
      </c>
      <c r="L4">
        <v>0</v>
      </c>
      <c r="M4">
        <v>0</v>
      </c>
    </row>
    <row r="5" spans="1:13" x14ac:dyDescent="0.2">
      <c r="A5" t="s">
        <v>13</v>
      </c>
      <c r="B5">
        <v>3.4200000000000001E-2</v>
      </c>
      <c r="C5">
        <v>2E-3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">
      <c r="A6" t="s">
        <v>14</v>
      </c>
      <c r="B6">
        <v>4.8000000000000001E-2</v>
      </c>
      <c r="C6">
        <v>3.0000000000000001E-3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3" x14ac:dyDescent="0.2">
      <c r="A7" t="s">
        <v>15</v>
      </c>
      <c r="B7">
        <v>0.62</v>
      </c>
      <c r="C7">
        <v>0.19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1">
        <v>0.62</v>
      </c>
      <c r="L7">
        <v>0</v>
      </c>
      <c r="M7">
        <v>0</v>
      </c>
    </row>
    <row r="8" spans="1:13" x14ac:dyDescent="0.2">
      <c r="A8" t="s">
        <v>16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 x14ac:dyDescent="0.2">
      <c r="A9" t="s">
        <v>17</v>
      </c>
      <c r="B9">
        <v>0.16320000000000001</v>
      </c>
      <c r="C9">
        <v>5.5100000000000003E-2</v>
      </c>
      <c r="D9">
        <v>2E-3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7.0000000000000001E-3</v>
      </c>
      <c r="L9">
        <v>0</v>
      </c>
      <c r="M9">
        <v>0</v>
      </c>
    </row>
    <row r="10" spans="1:13" x14ac:dyDescent="0.2">
      <c r="A10" t="s">
        <v>18</v>
      </c>
      <c r="B10">
        <v>0.498</v>
      </c>
      <c r="C10">
        <v>0.28299999999999997</v>
      </c>
      <c r="D10">
        <v>2.5999999999999999E-2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1">
        <v>0.66</v>
      </c>
      <c r="L10">
        <v>0</v>
      </c>
      <c r="M10">
        <v>0</v>
      </c>
    </row>
    <row r="11" spans="1:13" x14ac:dyDescent="0.2">
      <c r="A11" t="s">
        <v>19</v>
      </c>
      <c r="B11">
        <v>0.46800000000000003</v>
      </c>
      <c r="C11">
        <v>0.317</v>
      </c>
      <c r="D11">
        <v>4.4999999999999998E-2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1">
        <v>0.24199999999999999</v>
      </c>
      <c r="L11">
        <v>0</v>
      </c>
      <c r="M11">
        <v>0</v>
      </c>
    </row>
    <row r="12" spans="1:13" x14ac:dyDescent="0.2">
      <c r="A12" t="s">
        <v>20</v>
      </c>
      <c r="B12">
        <v>8.1000000000000003E-2</v>
      </c>
      <c r="C12">
        <v>0.02</v>
      </c>
      <c r="D12">
        <v>1E-3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1">
        <v>0.22800000000000001</v>
      </c>
      <c r="L12">
        <v>0</v>
      </c>
      <c r="M1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08285-B35B-489F-81DD-B5CF4588D20B}">
  <dimension ref="A1:M12"/>
  <sheetViews>
    <sheetView zoomScale="120" zoomScaleNormal="120" workbookViewId="0">
      <selection activeCell="B1" sqref="B1:D12"/>
    </sheetView>
  </sheetViews>
  <sheetFormatPr baseColWidth="10" defaultColWidth="8.83203125" defaultRowHeight="15" x14ac:dyDescent="0.2"/>
  <cols>
    <col min="1" max="1" width="16" customWidth="1" collapsed="1"/>
    <col min="2" max="2" width="18.6640625" bestFit="1" customWidth="1" collapsed="1"/>
    <col min="3" max="3" width="18.33203125" bestFit="1" customWidth="1" collapsed="1"/>
    <col min="4" max="4" width="14.5" bestFit="1" customWidth="1" collapsed="1"/>
    <col min="5" max="13" width="16" customWidth="1" collapsed="1"/>
  </cols>
  <sheetData>
    <row r="1" spans="1:13" x14ac:dyDescent="0.2">
      <c r="A1" t="s">
        <v>0</v>
      </c>
      <c r="B1" t="s">
        <v>1</v>
      </c>
      <c r="C1" t="s">
        <v>24</v>
      </c>
      <c r="D1" t="s">
        <v>33</v>
      </c>
      <c r="E1" t="s">
        <v>4</v>
      </c>
      <c r="F1" t="s">
        <v>26</v>
      </c>
      <c r="G1" t="s">
        <v>34</v>
      </c>
      <c r="H1" t="s">
        <v>7</v>
      </c>
      <c r="I1" t="s">
        <v>28</v>
      </c>
      <c r="J1" t="s">
        <v>35</v>
      </c>
      <c r="K1" t="s">
        <v>30</v>
      </c>
      <c r="L1" t="s">
        <v>31</v>
      </c>
      <c r="M1" t="s">
        <v>32</v>
      </c>
    </row>
    <row r="2" spans="1:13" x14ac:dyDescent="0.2">
      <c r="A2" t="s">
        <v>10</v>
      </c>
      <c r="B2">
        <v>0.60570000000000002</v>
      </c>
      <c r="C2">
        <v>0.43390000000000001</v>
      </c>
      <c r="D2">
        <v>3.56E-2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1">
        <v>0.50509999999999999</v>
      </c>
      <c r="L2">
        <v>0</v>
      </c>
      <c r="M2">
        <v>0</v>
      </c>
    </row>
    <row r="3" spans="1:13" x14ac:dyDescent="0.2">
      <c r="A3" t="s">
        <v>11</v>
      </c>
      <c r="B3">
        <v>0.54800000000000004</v>
      </c>
      <c r="C3">
        <v>9.5000000000000001E-2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13" x14ac:dyDescent="0.2">
      <c r="A4" t="s">
        <v>12</v>
      </c>
      <c r="B4">
        <v>0.51900000000000002</v>
      </c>
      <c r="C4">
        <v>0.27500000000000002</v>
      </c>
      <c r="D4">
        <v>7.0000000000000001E-3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8.4000000000000005E-2</v>
      </c>
      <c r="L4">
        <v>0</v>
      </c>
      <c r="M4">
        <v>0</v>
      </c>
    </row>
    <row r="5" spans="1:13" x14ac:dyDescent="0.2">
      <c r="A5" t="s">
        <v>13</v>
      </c>
      <c r="B5">
        <v>0.37269999999999998</v>
      </c>
      <c r="C5">
        <v>0.28860000000000002</v>
      </c>
      <c r="D5">
        <v>1.2999999999999999E-2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1">
        <v>0.13730000000000001</v>
      </c>
      <c r="L5">
        <v>0</v>
      </c>
      <c r="M5">
        <v>0</v>
      </c>
    </row>
    <row r="6" spans="1:13" x14ac:dyDescent="0.2">
      <c r="A6" t="s">
        <v>14</v>
      </c>
      <c r="B6">
        <v>0.82099999999999995</v>
      </c>
      <c r="C6">
        <v>0.63900000000000001</v>
      </c>
      <c r="D6">
        <v>7.0000000000000001E-3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1.4E-2</v>
      </c>
      <c r="L6">
        <v>0</v>
      </c>
      <c r="M6">
        <v>0</v>
      </c>
    </row>
    <row r="7" spans="1:13" x14ac:dyDescent="0.2">
      <c r="A7" t="s">
        <v>15</v>
      </c>
      <c r="B7">
        <v>0.97299999999999998</v>
      </c>
      <c r="C7">
        <v>0.86</v>
      </c>
      <c r="D7">
        <v>3.4000000000000002E-2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1">
        <v>0.98699999999999999</v>
      </c>
      <c r="L7">
        <v>0</v>
      </c>
      <c r="M7">
        <v>0</v>
      </c>
    </row>
    <row r="8" spans="1:13" x14ac:dyDescent="0.2">
      <c r="A8" t="s">
        <v>16</v>
      </c>
      <c r="B8">
        <v>0.93689999999999996</v>
      </c>
      <c r="C8">
        <v>0.8659</v>
      </c>
      <c r="D8">
        <v>0.2452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1">
        <v>0.60760000000000003</v>
      </c>
      <c r="L8">
        <v>0</v>
      </c>
      <c r="M8">
        <v>0</v>
      </c>
    </row>
    <row r="9" spans="1:13" x14ac:dyDescent="0.2">
      <c r="A9" t="s">
        <v>17</v>
      </c>
      <c r="B9">
        <v>2.3E-3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3" x14ac:dyDescent="0.2">
      <c r="A10" t="s">
        <v>18</v>
      </c>
      <c r="B10">
        <v>0.41139999999999999</v>
      </c>
      <c r="C10">
        <v>0.14910000000000001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1">
        <v>0.22520000000000001</v>
      </c>
      <c r="L10">
        <v>0</v>
      </c>
      <c r="M10">
        <v>0</v>
      </c>
    </row>
    <row r="11" spans="1:13" x14ac:dyDescent="0.2">
      <c r="A11" t="s">
        <v>19</v>
      </c>
      <c r="B11">
        <v>0.96399999999999997</v>
      </c>
      <c r="C11">
        <v>0.56299999999999994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1">
        <v>0.996</v>
      </c>
      <c r="L11">
        <v>0</v>
      </c>
      <c r="M11">
        <v>0</v>
      </c>
    </row>
    <row r="12" spans="1:13" x14ac:dyDescent="0.2">
      <c r="A12" t="s">
        <v>20</v>
      </c>
      <c r="B12">
        <v>0.61699999999999999</v>
      </c>
      <c r="C12">
        <v>0.38900000000000001</v>
      </c>
      <c r="D12">
        <v>3.2000000000000001E-2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1">
        <v>0.252</v>
      </c>
      <c r="L12">
        <v>0</v>
      </c>
      <c r="M1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4F7A4-A0CB-421F-90FD-0E0386F20B78}">
  <dimension ref="A1:J12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2" bestFit="1" customWidth="1" collapsed="1"/>
    <col min="2" max="2" width="18.6640625" bestFit="1" customWidth="1" collapsed="1"/>
    <col min="3" max="3" width="24.83203125" bestFit="1" customWidth="1" collapsed="1"/>
    <col min="4" max="4" width="21" bestFit="1" customWidth="1" collapsed="1"/>
    <col min="5" max="5" width="18.1640625" bestFit="1" customWidth="1" collapsed="1"/>
    <col min="6" max="6" width="24.33203125" bestFit="1" customWidth="1" collapsed="1"/>
    <col min="7" max="7" width="20.5" bestFit="1" customWidth="1" collapsed="1"/>
    <col min="8" max="8" width="18.1640625" bestFit="1" customWidth="1" collapsed="1"/>
    <col min="9" max="9" width="24.33203125" bestFit="1" customWidth="1" collapsed="1"/>
    <col min="10" max="10" width="20.5" bestFit="1" customWidth="1" collapsed="1"/>
  </cols>
  <sheetData>
    <row r="1" spans="1:10" x14ac:dyDescent="0.2">
      <c r="A1" t="s">
        <v>0</v>
      </c>
      <c r="B1" t="s">
        <v>1</v>
      </c>
      <c r="C1" t="s">
        <v>36</v>
      </c>
      <c r="D1" t="s">
        <v>37</v>
      </c>
      <c r="E1" t="s">
        <v>4</v>
      </c>
      <c r="F1" t="s">
        <v>38</v>
      </c>
      <c r="G1" t="s">
        <v>39</v>
      </c>
      <c r="H1" t="s">
        <v>7</v>
      </c>
      <c r="I1" t="s">
        <v>40</v>
      </c>
      <c r="J1" t="s">
        <v>41</v>
      </c>
    </row>
    <row r="2" spans="1:10" x14ac:dyDescent="0.2">
      <c r="A2" t="s">
        <v>10</v>
      </c>
      <c r="B2">
        <v>0.64610000000000001</v>
      </c>
      <c r="C2">
        <v>0.53449999999999998</v>
      </c>
      <c r="D2">
        <v>0.27210000000000001</v>
      </c>
      <c r="E2">
        <v>4.0399999999999998E-2</v>
      </c>
      <c r="F2">
        <v>1.1000000000000001E-3</v>
      </c>
      <c r="G2">
        <v>0</v>
      </c>
      <c r="H2">
        <v>0</v>
      </c>
      <c r="I2">
        <v>0</v>
      </c>
      <c r="J2">
        <v>0</v>
      </c>
    </row>
    <row r="3" spans="1:10" x14ac:dyDescent="0.2">
      <c r="A3" t="s">
        <v>11</v>
      </c>
      <c r="B3">
        <v>6.4000000000000001E-2</v>
      </c>
      <c r="C3">
        <v>0.02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">
      <c r="A4" t="s">
        <v>12</v>
      </c>
      <c r="B4">
        <v>0.94089999999999996</v>
      </c>
      <c r="C4">
        <v>0.83779999999999999</v>
      </c>
      <c r="D4">
        <v>0.38340000000000002</v>
      </c>
      <c r="E4">
        <v>4.2000000000000003E-2</v>
      </c>
      <c r="F4">
        <v>3.0000000000000001E-3</v>
      </c>
      <c r="G4">
        <v>0</v>
      </c>
      <c r="H4">
        <v>0</v>
      </c>
      <c r="I4">
        <v>0</v>
      </c>
      <c r="J4">
        <v>0</v>
      </c>
    </row>
    <row r="5" spans="1:10" x14ac:dyDescent="0.2">
      <c r="A5" t="s">
        <v>13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">
      <c r="A6" t="s">
        <v>14</v>
      </c>
      <c r="B6">
        <v>7.0000000000000001E-3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">
      <c r="A7" t="s">
        <v>15</v>
      </c>
      <c r="B7">
        <v>0.96</v>
      </c>
      <c r="C7">
        <v>0.623</v>
      </c>
      <c r="D7">
        <v>4.0000000000000001E-3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2">
      <c r="A8" t="s">
        <v>16</v>
      </c>
      <c r="B8">
        <v>0.9919</v>
      </c>
      <c r="C8">
        <v>0.9778</v>
      </c>
      <c r="D8">
        <v>0.92520000000000002</v>
      </c>
      <c r="E8">
        <v>0.93330000000000002</v>
      </c>
      <c r="F8">
        <v>0.77249999999999996</v>
      </c>
      <c r="G8">
        <v>4.9500000000000002E-2</v>
      </c>
      <c r="H8">
        <v>0</v>
      </c>
      <c r="I8">
        <v>0</v>
      </c>
      <c r="J8">
        <v>0</v>
      </c>
    </row>
    <row r="9" spans="1:10" x14ac:dyDescent="0.2">
      <c r="A9" t="s">
        <v>17</v>
      </c>
      <c r="B9">
        <v>0.69159999999999999</v>
      </c>
      <c r="C9">
        <v>0.63800000000000001</v>
      </c>
      <c r="D9">
        <v>0.34179999999999999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 x14ac:dyDescent="0.2">
      <c r="A10" t="s">
        <v>18</v>
      </c>
      <c r="B10">
        <v>0.84599999999999997</v>
      </c>
      <c r="C10">
        <v>0.26200000000000001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">
      <c r="A11" t="s">
        <v>19</v>
      </c>
      <c r="B11">
        <v>0.73899999999999999</v>
      </c>
      <c r="C11">
        <v>6.0999999999999999E-2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">
      <c r="A12" t="s">
        <v>42</v>
      </c>
      <c r="B12">
        <v>0.74180000000000001</v>
      </c>
      <c r="C12">
        <v>0.71730000000000005</v>
      </c>
      <c r="D12">
        <v>0.66739999999999999</v>
      </c>
      <c r="E12">
        <v>4.7800000000000002E-2</v>
      </c>
      <c r="F12">
        <v>7.4000000000000003E-3</v>
      </c>
      <c r="G12">
        <v>0</v>
      </c>
      <c r="H12">
        <v>0</v>
      </c>
      <c r="I12">
        <v>0</v>
      </c>
      <c r="J1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F9E2E-0CBB-41EF-B66E-C880883327CE}">
  <dimension ref="A1:D12"/>
  <sheetViews>
    <sheetView workbookViewId="0">
      <selection activeCell="J19" sqref="J19"/>
    </sheetView>
  </sheetViews>
  <sheetFormatPr baseColWidth="10" defaultColWidth="8.83203125" defaultRowHeight="15" x14ac:dyDescent="0.2"/>
  <cols>
    <col min="1" max="1" width="22" bestFit="1" customWidth="1"/>
    <col min="2" max="2" width="16.83203125" bestFit="1" customWidth="1"/>
    <col min="3" max="4" width="16.6640625" bestFit="1" customWidth="1"/>
  </cols>
  <sheetData>
    <row r="1" spans="1:4" x14ac:dyDescent="0.2">
      <c r="A1" t="s">
        <v>0</v>
      </c>
      <c r="B1" t="s">
        <v>43</v>
      </c>
      <c r="C1" t="s">
        <v>44</v>
      </c>
      <c r="D1" t="s">
        <v>45</v>
      </c>
    </row>
    <row r="2" spans="1:4" x14ac:dyDescent="0.2">
      <c r="A2" t="s">
        <v>10</v>
      </c>
      <c r="B2">
        <v>0</v>
      </c>
      <c r="C2">
        <v>0</v>
      </c>
      <c r="D2">
        <v>0</v>
      </c>
    </row>
    <row r="3" spans="1:4" x14ac:dyDescent="0.2">
      <c r="A3" t="s">
        <v>11</v>
      </c>
      <c r="B3">
        <v>3.0000000000000001E-3</v>
      </c>
      <c r="C3">
        <v>0</v>
      </c>
      <c r="D3">
        <v>0</v>
      </c>
    </row>
    <row r="4" spans="1:4" x14ac:dyDescent="0.2">
      <c r="A4" t="s">
        <v>12</v>
      </c>
      <c r="B4">
        <v>0.79200000000000004</v>
      </c>
      <c r="C4">
        <v>0</v>
      </c>
      <c r="D4">
        <v>0</v>
      </c>
    </row>
    <row r="5" spans="1:4" x14ac:dyDescent="0.2">
      <c r="A5" t="s">
        <v>13</v>
      </c>
      <c r="B5">
        <v>0</v>
      </c>
      <c r="C5">
        <v>0</v>
      </c>
      <c r="D5">
        <v>0</v>
      </c>
    </row>
    <row r="6" spans="1:4" x14ac:dyDescent="0.2">
      <c r="A6" t="s">
        <v>14</v>
      </c>
      <c r="B6">
        <v>1E-3</v>
      </c>
      <c r="C6">
        <v>0</v>
      </c>
      <c r="D6">
        <v>0</v>
      </c>
    </row>
    <row r="7" spans="1:4" x14ac:dyDescent="0.2">
      <c r="A7" t="s">
        <v>15</v>
      </c>
      <c r="B7">
        <v>0.73899999999999999</v>
      </c>
      <c r="C7">
        <v>0</v>
      </c>
      <c r="D7">
        <v>0</v>
      </c>
    </row>
    <row r="8" spans="1:4" x14ac:dyDescent="0.2">
      <c r="A8" t="s">
        <v>16</v>
      </c>
      <c r="B8">
        <v>0</v>
      </c>
      <c r="C8">
        <v>0</v>
      </c>
      <c r="D8">
        <v>0</v>
      </c>
    </row>
    <row r="9" spans="1:4" x14ac:dyDescent="0.2">
      <c r="A9" t="s">
        <v>17</v>
      </c>
      <c r="B9">
        <v>2.1000000000000001E-2</v>
      </c>
      <c r="C9">
        <v>0</v>
      </c>
      <c r="D9">
        <v>0</v>
      </c>
    </row>
    <row r="10" spans="1:4" x14ac:dyDescent="0.2">
      <c r="A10" t="s">
        <v>18</v>
      </c>
      <c r="B10">
        <v>0.126</v>
      </c>
      <c r="C10">
        <v>0</v>
      </c>
      <c r="D10">
        <v>0</v>
      </c>
    </row>
    <row r="11" spans="1:4" x14ac:dyDescent="0.2">
      <c r="A11" t="s">
        <v>19</v>
      </c>
      <c r="B11">
        <v>0.16220000000000001</v>
      </c>
      <c r="C11">
        <v>0</v>
      </c>
      <c r="D11">
        <v>0</v>
      </c>
    </row>
    <row r="12" spans="1:4" x14ac:dyDescent="0.2">
      <c r="A12" t="s">
        <v>42</v>
      </c>
      <c r="B12">
        <v>0.96679999999999999</v>
      </c>
      <c r="C12">
        <v>0</v>
      </c>
      <c r="D12">
        <v>0</v>
      </c>
    </row>
  </sheetData>
  <conditionalFormatting sqref="B1:B1048576">
    <cfRule type="cellIs" dxfId="34" priority="1" operator="greaterThan">
      <formula>0.9499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11354-F273-4155-8CD9-88615BC0F50E}">
  <dimension ref="A1:D12"/>
  <sheetViews>
    <sheetView workbookViewId="0">
      <selection activeCell="B1" sqref="B1:B12"/>
    </sheetView>
  </sheetViews>
  <sheetFormatPr baseColWidth="10" defaultColWidth="8.83203125" defaultRowHeight="15" x14ac:dyDescent="0.2"/>
  <cols>
    <col min="1" max="1" width="22" bestFit="1" customWidth="1"/>
    <col min="2" max="2" width="16.1640625" bestFit="1" customWidth="1"/>
    <col min="3" max="4" width="16" bestFit="1" customWidth="1"/>
  </cols>
  <sheetData>
    <row r="1" spans="1:4" x14ac:dyDescent="0.2">
      <c r="A1" t="s">
        <v>0</v>
      </c>
      <c r="B1" t="s">
        <v>46</v>
      </c>
      <c r="C1" t="s">
        <v>47</v>
      </c>
      <c r="D1" t="s">
        <v>48</v>
      </c>
    </row>
    <row r="2" spans="1:4" x14ac:dyDescent="0.2">
      <c r="A2" t="s">
        <v>10</v>
      </c>
      <c r="B2">
        <v>0</v>
      </c>
      <c r="C2">
        <v>0</v>
      </c>
      <c r="D2">
        <v>0</v>
      </c>
    </row>
    <row r="3" spans="1:4" x14ac:dyDescent="0.2">
      <c r="A3" t="s">
        <v>11</v>
      </c>
      <c r="B3">
        <v>0</v>
      </c>
      <c r="C3">
        <v>0</v>
      </c>
      <c r="D3">
        <v>0</v>
      </c>
    </row>
    <row r="4" spans="1:4" x14ac:dyDescent="0.2">
      <c r="A4" t="s">
        <v>12</v>
      </c>
      <c r="B4">
        <v>2.5999999999999999E-2</v>
      </c>
      <c r="C4">
        <v>0</v>
      </c>
      <c r="D4">
        <v>0</v>
      </c>
    </row>
    <row r="5" spans="1:4" x14ac:dyDescent="0.2">
      <c r="A5" t="s">
        <v>13</v>
      </c>
      <c r="B5">
        <v>0</v>
      </c>
      <c r="C5">
        <v>0</v>
      </c>
      <c r="D5">
        <v>0</v>
      </c>
    </row>
    <row r="6" spans="1:4" x14ac:dyDescent="0.2">
      <c r="A6" t="s">
        <v>14</v>
      </c>
      <c r="B6">
        <v>0</v>
      </c>
      <c r="C6">
        <v>0</v>
      </c>
      <c r="D6">
        <v>0</v>
      </c>
    </row>
    <row r="7" spans="1:4" x14ac:dyDescent="0.2">
      <c r="A7" t="s">
        <v>15</v>
      </c>
      <c r="B7">
        <v>0.62</v>
      </c>
      <c r="C7">
        <v>0</v>
      </c>
      <c r="D7">
        <v>0</v>
      </c>
    </row>
    <row r="8" spans="1:4" x14ac:dyDescent="0.2">
      <c r="A8" t="s">
        <v>16</v>
      </c>
      <c r="B8">
        <v>0</v>
      </c>
      <c r="C8">
        <v>0</v>
      </c>
      <c r="D8">
        <v>0</v>
      </c>
    </row>
    <row r="9" spans="1:4" x14ac:dyDescent="0.2">
      <c r="A9" t="s">
        <v>17</v>
      </c>
      <c r="B9">
        <v>7.0000000000000001E-3</v>
      </c>
      <c r="C9">
        <v>0</v>
      </c>
      <c r="D9">
        <v>0</v>
      </c>
    </row>
    <row r="10" spans="1:4" x14ac:dyDescent="0.2">
      <c r="A10" t="s">
        <v>18</v>
      </c>
      <c r="B10">
        <v>0.66</v>
      </c>
      <c r="C10">
        <v>0</v>
      </c>
      <c r="D10">
        <v>0</v>
      </c>
    </row>
    <row r="11" spans="1:4" x14ac:dyDescent="0.2">
      <c r="A11" t="s">
        <v>19</v>
      </c>
      <c r="B11">
        <v>0.24199999999999999</v>
      </c>
      <c r="C11">
        <v>0</v>
      </c>
      <c r="D11">
        <v>0</v>
      </c>
    </row>
    <row r="12" spans="1:4" x14ac:dyDescent="0.2">
      <c r="A12" t="s">
        <v>42</v>
      </c>
      <c r="B12">
        <v>0.22800000000000001</v>
      </c>
      <c r="C12">
        <v>0</v>
      </c>
      <c r="D12">
        <v>0</v>
      </c>
    </row>
  </sheetData>
  <conditionalFormatting sqref="B1:B12">
    <cfRule type="cellIs" dxfId="33" priority="1" operator="greaterThan">
      <formula>0.9499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93065-8F95-4CD1-98BD-E65F1389D409}">
  <dimension ref="A1:D12"/>
  <sheetViews>
    <sheetView zoomScale="150" zoomScaleNormal="150" workbookViewId="0">
      <selection activeCell="B1" sqref="B1:B12"/>
    </sheetView>
  </sheetViews>
  <sheetFormatPr baseColWidth="10" defaultColWidth="8.83203125" defaultRowHeight="15" x14ac:dyDescent="0.2"/>
  <cols>
    <col min="1" max="1" width="22" bestFit="1" customWidth="1"/>
    <col min="2" max="2" width="16.83203125" bestFit="1" customWidth="1"/>
    <col min="3" max="4" width="16.6640625" bestFit="1" customWidth="1"/>
  </cols>
  <sheetData>
    <row r="1" spans="1:4" x14ac:dyDescent="0.2">
      <c r="A1" t="s">
        <v>0</v>
      </c>
      <c r="B1" t="s">
        <v>49</v>
      </c>
      <c r="C1" t="s">
        <v>50</v>
      </c>
      <c r="D1" t="s">
        <v>51</v>
      </c>
    </row>
    <row r="2" spans="1:4" x14ac:dyDescent="0.2">
      <c r="A2" t="s">
        <v>10</v>
      </c>
      <c r="B2">
        <v>0.50700000000000001</v>
      </c>
      <c r="C2">
        <v>0</v>
      </c>
      <c r="D2">
        <v>0</v>
      </c>
    </row>
    <row r="3" spans="1:4" x14ac:dyDescent="0.2">
      <c r="A3" t="s">
        <v>11</v>
      </c>
      <c r="B3">
        <v>4.0000000000000001E-3</v>
      </c>
      <c r="C3">
        <v>0</v>
      </c>
      <c r="D3">
        <v>0</v>
      </c>
    </row>
    <row r="4" spans="1:4" x14ac:dyDescent="0.2">
      <c r="A4" t="s">
        <v>12</v>
      </c>
      <c r="B4">
        <v>0.48</v>
      </c>
      <c r="C4">
        <v>0</v>
      </c>
      <c r="D4">
        <v>0</v>
      </c>
    </row>
    <row r="5" spans="1:4" x14ac:dyDescent="0.2">
      <c r="A5" t="s">
        <v>13</v>
      </c>
      <c r="B5">
        <v>0</v>
      </c>
      <c r="C5">
        <v>0</v>
      </c>
      <c r="D5">
        <v>0</v>
      </c>
    </row>
    <row r="6" spans="1:4" x14ac:dyDescent="0.2">
      <c r="A6" t="s">
        <v>14</v>
      </c>
      <c r="B6">
        <v>1E-3</v>
      </c>
      <c r="C6">
        <v>0</v>
      </c>
      <c r="D6">
        <v>0</v>
      </c>
    </row>
    <row r="7" spans="1:4" x14ac:dyDescent="0.2">
      <c r="A7" t="s">
        <v>15</v>
      </c>
      <c r="B7">
        <v>0.996</v>
      </c>
      <c r="C7">
        <v>0</v>
      </c>
      <c r="D7">
        <v>0</v>
      </c>
    </row>
    <row r="8" spans="1:4" x14ac:dyDescent="0.2">
      <c r="A8" t="s">
        <v>16</v>
      </c>
      <c r="B8">
        <v>0.5575</v>
      </c>
      <c r="C8">
        <v>0</v>
      </c>
      <c r="D8">
        <v>0</v>
      </c>
    </row>
    <row r="9" spans="1:4" x14ac:dyDescent="0.2">
      <c r="A9" t="s">
        <v>17</v>
      </c>
      <c r="B9">
        <v>0.3206</v>
      </c>
      <c r="C9">
        <v>0</v>
      </c>
      <c r="D9">
        <v>0</v>
      </c>
    </row>
    <row r="10" spans="1:4" x14ac:dyDescent="0.2">
      <c r="A10" t="s">
        <v>18</v>
      </c>
      <c r="B10">
        <v>1</v>
      </c>
      <c r="C10">
        <v>0</v>
      </c>
      <c r="D10">
        <v>0</v>
      </c>
    </row>
    <row r="11" spans="1:4" x14ac:dyDescent="0.2">
      <c r="A11" t="s">
        <v>19</v>
      </c>
      <c r="B11">
        <v>1</v>
      </c>
      <c r="C11">
        <v>0</v>
      </c>
      <c r="D11">
        <v>0</v>
      </c>
    </row>
    <row r="12" spans="1:4" x14ac:dyDescent="0.2">
      <c r="A12" t="s">
        <v>42</v>
      </c>
      <c r="B12">
        <v>0.54449999999999998</v>
      </c>
      <c r="C12">
        <v>0</v>
      </c>
      <c r="D12">
        <v>0</v>
      </c>
    </row>
  </sheetData>
  <conditionalFormatting sqref="B1:B12">
    <cfRule type="cellIs" dxfId="32" priority="1" operator="greaterThan">
      <formula>0.9499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4656-928B-4E0C-ACE5-CCF2597F73FF}">
  <dimension ref="A1:D12"/>
  <sheetViews>
    <sheetView workbookViewId="0">
      <selection activeCell="B1" sqref="B1:B12"/>
    </sheetView>
  </sheetViews>
  <sheetFormatPr baseColWidth="10" defaultColWidth="8.83203125" defaultRowHeight="15" x14ac:dyDescent="0.2"/>
  <sheetData>
    <row r="1" spans="1:4" x14ac:dyDescent="0.2">
      <c r="A1" t="s">
        <v>0</v>
      </c>
      <c r="B1" t="s">
        <v>52</v>
      </c>
      <c r="C1" t="s">
        <v>53</v>
      </c>
      <c r="D1" t="s">
        <v>54</v>
      </c>
    </row>
    <row r="2" spans="1:4" x14ac:dyDescent="0.2">
      <c r="A2" t="s">
        <v>10</v>
      </c>
      <c r="B2">
        <v>0.50509999999999999</v>
      </c>
      <c r="C2">
        <v>0</v>
      </c>
      <c r="D2">
        <v>0</v>
      </c>
    </row>
    <row r="3" spans="1:4" x14ac:dyDescent="0.2">
      <c r="A3" t="s">
        <v>11</v>
      </c>
      <c r="B3">
        <v>0</v>
      </c>
      <c r="C3">
        <v>0</v>
      </c>
      <c r="D3">
        <v>0</v>
      </c>
    </row>
    <row r="4" spans="1:4" x14ac:dyDescent="0.2">
      <c r="A4" t="s">
        <v>12</v>
      </c>
      <c r="B4">
        <v>8.4000000000000005E-2</v>
      </c>
      <c r="C4">
        <v>0</v>
      </c>
      <c r="D4">
        <v>0</v>
      </c>
    </row>
    <row r="5" spans="1:4" x14ac:dyDescent="0.2">
      <c r="A5" t="s">
        <v>13</v>
      </c>
      <c r="B5">
        <v>0.13730000000000001</v>
      </c>
      <c r="C5">
        <v>0</v>
      </c>
      <c r="D5">
        <v>0</v>
      </c>
    </row>
    <row r="6" spans="1:4" x14ac:dyDescent="0.2">
      <c r="A6" t="s">
        <v>14</v>
      </c>
      <c r="B6">
        <v>1.4E-2</v>
      </c>
      <c r="C6">
        <v>0</v>
      </c>
      <c r="D6">
        <v>0</v>
      </c>
    </row>
    <row r="7" spans="1:4" x14ac:dyDescent="0.2">
      <c r="A7" t="s">
        <v>15</v>
      </c>
      <c r="B7">
        <v>0.98699999999999999</v>
      </c>
      <c r="C7">
        <v>0</v>
      </c>
      <c r="D7">
        <v>0</v>
      </c>
    </row>
    <row r="8" spans="1:4" x14ac:dyDescent="0.2">
      <c r="A8" t="s">
        <v>16</v>
      </c>
      <c r="B8">
        <v>0.60760000000000003</v>
      </c>
      <c r="C8">
        <v>0</v>
      </c>
      <c r="D8">
        <v>0</v>
      </c>
    </row>
    <row r="9" spans="1:4" x14ac:dyDescent="0.2">
      <c r="A9" t="s">
        <v>17</v>
      </c>
      <c r="B9">
        <v>0</v>
      </c>
      <c r="C9">
        <v>0</v>
      </c>
      <c r="D9">
        <v>0</v>
      </c>
    </row>
    <row r="10" spans="1:4" x14ac:dyDescent="0.2">
      <c r="A10" t="s">
        <v>18</v>
      </c>
      <c r="B10">
        <v>0.22520000000000001</v>
      </c>
      <c r="C10">
        <v>0</v>
      </c>
      <c r="D10">
        <v>0</v>
      </c>
    </row>
    <row r="11" spans="1:4" x14ac:dyDescent="0.2">
      <c r="A11" t="s">
        <v>19</v>
      </c>
      <c r="B11">
        <v>0.996</v>
      </c>
      <c r="C11">
        <v>0</v>
      </c>
      <c r="D11">
        <v>0</v>
      </c>
    </row>
    <row r="12" spans="1:4" x14ac:dyDescent="0.2">
      <c r="A12" t="s">
        <v>42</v>
      </c>
      <c r="B12">
        <v>0.252</v>
      </c>
      <c r="C12">
        <v>0</v>
      </c>
      <c r="D12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A3F6-6EE5-46A3-BDCC-C293A1205373}">
  <dimension ref="A1:G13"/>
  <sheetViews>
    <sheetView zoomScale="170" zoomScaleNormal="170" workbookViewId="0">
      <selection activeCell="C2" sqref="C2:C13"/>
    </sheetView>
  </sheetViews>
  <sheetFormatPr baseColWidth="10" defaultColWidth="8.83203125" defaultRowHeight="15" x14ac:dyDescent="0.2"/>
  <cols>
    <col min="1" max="1" width="22" bestFit="1" customWidth="1"/>
    <col min="2" max="7" width="8.83203125" customWidth="1"/>
  </cols>
  <sheetData>
    <row r="1" spans="1:7" x14ac:dyDescent="0.2">
      <c r="B1" s="8" t="s">
        <v>58</v>
      </c>
      <c r="C1" s="8"/>
      <c r="D1" s="9" t="s">
        <v>63</v>
      </c>
      <c r="E1" s="9"/>
      <c r="F1" s="9"/>
      <c r="G1" s="9"/>
    </row>
    <row r="2" spans="1:7" x14ac:dyDescent="0.2">
      <c r="A2" t="s">
        <v>55</v>
      </c>
      <c r="B2">
        <v>2022</v>
      </c>
      <c r="C2">
        <v>2023</v>
      </c>
      <c r="D2" s="3" t="s">
        <v>59</v>
      </c>
      <c r="E2" s="3" t="s">
        <v>60</v>
      </c>
      <c r="F2" s="3" t="s">
        <v>61</v>
      </c>
      <c r="G2" s="3" t="s">
        <v>62</v>
      </c>
    </row>
    <row r="3" spans="1:7" x14ac:dyDescent="0.2">
      <c r="A3" t="s">
        <v>10</v>
      </c>
      <c r="B3">
        <v>38.799999999999997</v>
      </c>
      <c r="C3">
        <v>43.5</v>
      </c>
      <c r="D3" s="5" t="s">
        <v>56</v>
      </c>
      <c r="E3" s="5" t="s">
        <v>56</v>
      </c>
      <c r="F3" s="5">
        <v>0.50700000000000001</v>
      </c>
      <c r="G3" s="5">
        <v>0.50509999999999999</v>
      </c>
    </row>
    <row r="4" spans="1:7" x14ac:dyDescent="0.2">
      <c r="A4" t="s">
        <v>11</v>
      </c>
      <c r="B4">
        <v>38.9</v>
      </c>
      <c r="C4">
        <v>38.700000000000003</v>
      </c>
      <c r="D4" s="5">
        <v>3.0000000000000001E-3</v>
      </c>
      <c r="E4" s="5" t="s">
        <v>56</v>
      </c>
      <c r="F4" s="5">
        <v>4.0000000000000001E-3</v>
      </c>
      <c r="G4" s="5" t="s">
        <v>56</v>
      </c>
    </row>
    <row r="5" spans="1:7" x14ac:dyDescent="0.2">
      <c r="A5" t="s">
        <v>12</v>
      </c>
      <c r="B5">
        <v>45.3</v>
      </c>
      <c r="C5">
        <v>41</v>
      </c>
      <c r="D5" s="5">
        <v>0.79200000000000004</v>
      </c>
      <c r="E5" s="5">
        <v>2.5999999999999999E-2</v>
      </c>
      <c r="F5" s="5">
        <v>0.48</v>
      </c>
      <c r="G5" s="5">
        <v>8.4000000000000005E-2</v>
      </c>
    </row>
    <row r="6" spans="1:7" x14ac:dyDescent="0.2">
      <c r="A6" t="s">
        <v>13</v>
      </c>
      <c r="B6">
        <v>37.6</v>
      </c>
      <c r="C6">
        <v>40.799999999999997</v>
      </c>
      <c r="D6" s="5" t="s">
        <v>56</v>
      </c>
      <c r="E6" s="5" t="s">
        <v>56</v>
      </c>
      <c r="F6" s="5" t="s">
        <v>56</v>
      </c>
      <c r="G6" s="5">
        <v>0.13730000000000001</v>
      </c>
    </row>
    <row r="7" spans="1:7" x14ac:dyDescent="0.2">
      <c r="A7" t="s">
        <v>14</v>
      </c>
      <c r="B7">
        <v>36.5</v>
      </c>
      <c r="C7">
        <v>38.700000000000003</v>
      </c>
      <c r="D7" s="5">
        <v>1E-3</v>
      </c>
      <c r="E7" s="5" t="s">
        <v>56</v>
      </c>
      <c r="F7" s="5">
        <v>1E-3</v>
      </c>
      <c r="G7" s="5">
        <v>1.4E-2</v>
      </c>
    </row>
    <row r="8" spans="1:7" x14ac:dyDescent="0.2">
      <c r="A8" t="s">
        <v>15</v>
      </c>
      <c r="B8">
        <v>44.5</v>
      </c>
      <c r="C8">
        <v>44.8</v>
      </c>
      <c r="D8" s="5">
        <v>0.73899999999999999</v>
      </c>
      <c r="E8" s="5">
        <v>0.62</v>
      </c>
      <c r="F8" s="5">
        <v>0.996</v>
      </c>
      <c r="G8" s="5">
        <v>0.98699999999999999</v>
      </c>
    </row>
    <row r="9" spans="1:7" x14ac:dyDescent="0.2">
      <c r="A9" t="s">
        <v>16</v>
      </c>
      <c r="B9">
        <v>40.6</v>
      </c>
      <c r="C9">
        <v>40.700000000000003</v>
      </c>
      <c r="D9" s="5" t="s">
        <v>56</v>
      </c>
      <c r="E9" s="5" t="s">
        <v>56</v>
      </c>
      <c r="F9" s="5">
        <v>0.5575</v>
      </c>
      <c r="G9" s="5">
        <v>0.60760000000000003</v>
      </c>
    </row>
    <row r="10" spans="1:7" x14ac:dyDescent="0.2">
      <c r="A10" t="s">
        <v>17</v>
      </c>
      <c r="B10">
        <v>40.200000000000003</v>
      </c>
      <c r="C10">
        <v>39.5</v>
      </c>
      <c r="D10" s="5">
        <v>2.1000000000000001E-2</v>
      </c>
      <c r="E10" s="5">
        <v>7.0000000000000001E-3</v>
      </c>
      <c r="F10" s="5">
        <v>0.3206</v>
      </c>
      <c r="G10" s="5" t="s">
        <v>56</v>
      </c>
    </row>
    <row r="11" spans="1:7" x14ac:dyDescent="0.2">
      <c r="A11" t="s">
        <v>18</v>
      </c>
      <c r="B11">
        <v>45.7</v>
      </c>
      <c r="C11">
        <v>43.5</v>
      </c>
      <c r="D11" s="5">
        <v>0.126</v>
      </c>
      <c r="E11" s="5">
        <v>0.66</v>
      </c>
      <c r="F11" s="5" t="s">
        <v>57</v>
      </c>
      <c r="G11" s="5">
        <v>0.22520000000000001</v>
      </c>
    </row>
    <row r="12" spans="1:7" x14ac:dyDescent="0.2">
      <c r="A12" t="s">
        <v>19</v>
      </c>
      <c r="B12">
        <v>41.9</v>
      </c>
      <c r="C12">
        <v>45.3</v>
      </c>
      <c r="D12" s="5">
        <v>0.16220000000000001</v>
      </c>
      <c r="E12" s="5">
        <v>0.24199999999999999</v>
      </c>
      <c r="F12" s="5" t="s">
        <v>57</v>
      </c>
      <c r="G12" s="5">
        <v>0.996</v>
      </c>
    </row>
    <row r="13" spans="1:7" x14ac:dyDescent="0.2">
      <c r="A13" t="s">
        <v>42</v>
      </c>
      <c r="B13">
        <v>45.9</v>
      </c>
      <c r="C13">
        <v>42.1</v>
      </c>
      <c r="D13" s="5">
        <v>0.96679999999999999</v>
      </c>
      <c r="E13" s="5">
        <v>0.22800000000000001</v>
      </c>
      <c r="F13" s="5">
        <v>0.54449999999999998</v>
      </c>
      <c r="G13" s="5">
        <v>0.252</v>
      </c>
    </row>
  </sheetData>
  <mergeCells count="2">
    <mergeCell ref="B1:C1"/>
    <mergeCell ref="D1:G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F61A7-F99D-9344-84FD-F56A521D9225}">
  <dimension ref="A1:M29"/>
  <sheetViews>
    <sheetView workbookViewId="0">
      <selection activeCell="M9" sqref="M9"/>
    </sheetView>
  </sheetViews>
  <sheetFormatPr baseColWidth="10" defaultRowHeight="15" x14ac:dyDescent="0.2"/>
  <cols>
    <col min="1" max="1" width="20.5" bestFit="1" customWidth="1"/>
    <col min="2" max="13" width="14" customWidth="1"/>
  </cols>
  <sheetData>
    <row r="1" spans="1:13" s="3" customFormat="1" x14ac:dyDescent="0.2">
      <c r="B1" s="10" t="s">
        <v>59</v>
      </c>
      <c r="C1" s="10"/>
      <c r="D1" s="10"/>
      <c r="E1" s="10" t="s">
        <v>60</v>
      </c>
      <c r="F1" s="10"/>
      <c r="G1" s="10"/>
      <c r="H1" s="10" t="s">
        <v>61</v>
      </c>
      <c r="I1" s="10"/>
      <c r="J1" s="10"/>
      <c r="K1" s="11" t="s">
        <v>62</v>
      </c>
      <c r="L1" s="11"/>
      <c r="M1" s="11"/>
    </row>
    <row r="2" spans="1:13" x14ac:dyDescent="0.2">
      <c r="A2" t="s">
        <v>0</v>
      </c>
      <c r="B2" s="2" t="s">
        <v>64</v>
      </c>
      <c r="C2" s="2" t="s">
        <v>65</v>
      </c>
      <c r="D2" s="6" t="s">
        <v>70</v>
      </c>
      <c r="E2" s="2" t="s">
        <v>64</v>
      </c>
      <c r="F2" s="2" t="s">
        <v>66</v>
      </c>
      <c r="G2" s="6" t="s">
        <v>69</v>
      </c>
      <c r="H2" s="2" t="s">
        <v>64</v>
      </c>
      <c r="I2" s="2" t="s">
        <v>65</v>
      </c>
      <c r="J2" s="6" t="s">
        <v>67</v>
      </c>
      <c r="K2" s="2" t="s">
        <v>64</v>
      </c>
      <c r="L2" s="2" t="s">
        <v>66</v>
      </c>
      <c r="M2" s="6" t="s">
        <v>68</v>
      </c>
    </row>
    <row r="3" spans="1:13" x14ac:dyDescent="0.2">
      <c r="A3" s="7" t="s">
        <v>10</v>
      </c>
      <c r="B3" s="4">
        <v>0.13900000000000001</v>
      </c>
      <c r="C3" s="4">
        <v>1.9E-2</v>
      </c>
      <c r="D3" s="5" t="s">
        <v>56</v>
      </c>
      <c r="E3" s="5">
        <v>0.16220000000000001</v>
      </c>
      <c r="F3" s="5">
        <v>1.9E-2</v>
      </c>
      <c r="G3" s="5" t="s">
        <v>56</v>
      </c>
      <c r="H3" s="5">
        <v>0.75600000000000001</v>
      </c>
      <c r="I3" s="5">
        <v>0.35599999999999998</v>
      </c>
      <c r="J3" s="5" t="s">
        <v>56</v>
      </c>
      <c r="K3" s="5">
        <v>0.60570000000000002</v>
      </c>
      <c r="L3" s="5">
        <v>0.43390000000000001</v>
      </c>
      <c r="M3" s="5">
        <v>3.56E-2</v>
      </c>
    </row>
    <row r="4" spans="1:13" x14ac:dyDescent="0.2">
      <c r="A4" s="7" t="s">
        <v>11</v>
      </c>
      <c r="B4" s="4">
        <v>0.41699999999999998</v>
      </c>
      <c r="C4" s="4">
        <v>0.16200000000000001</v>
      </c>
      <c r="D4" s="5" t="s">
        <v>56</v>
      </c>
      <c r="E4" s="5" t="s">
        <v>56</v>
      </c>
      <c r="F4" s="5" t="s">
        <v>56</v>
      </c>
      <c r="G4" s="5" t="s">
        <v>56</v>
      </c>
      <c r="H4" s="5">
        <v>0.90100000000000002</v>
      </c>
      <c r="I4" s="5">
        <v>0.65</v>
      </c>
      <c r="J4" s="5" t="s">
        <v>56</v>
      </c>
      <c r="K4" s="5">
        <v>0.54800000000000004</v>
      </c>
      <c r="L4" s="5">
        <v>9.5000000000000001E-2</v>
      </c>
      <c r="M4" s="5" t="s">
        <v>56</v>
      </c>
    </row>
    <row r="5" spans="1:13" x14ac:dyDescent="0.2">
      <c r="A5" s="7" t="s">
        <v>12</v>
      </c>
      <c r="B5" s="4">
        <v>0.56399999999999995</v>
      </c>
      <c r="C5" s="4">
        <v>0.157</v>
      </c>
      <c r="D5" s="5" t="s">
        <v>56</v>
      </c>
      <c r="E5" s="5">
        <v>1E-3</v>
      </c>
      <c r="F5" s="5" t="s">
        <v>56</v>
      </c>
      <c r="G5" s="5" t="s">
        <v>56</v>
      </c>
      <c r="H5" s="5">
        <v>0.96699999999999997</v>
      </c>
      <c r="I5" s="5">
        <v>0.81699999999999995</v>
      </c>
      <c r="J5" s="5">
        <v>7.3999999999999996E-2</v>
      </c>
      <c r="K5" s="5">
        <v>0.51900000000000002</v>
      </c>
      <c r="L5" s="5">
        <v>0.27500000000000002</v>
      </c>
      <c r="M5" s="5">
        <v>7.0000000000000001E-3</v>
      </c>
    </row>
    <row r="6" spans="1:13" x14ac:dyDescent="0.2">
      <c r="A6" s="7" t="s">
        <v>13</v>
      </c>
      <c r="B6" s="4">
        <v>0.93200000000000005</v>
      </c>
      <c r="C6" s="4">
        <v>0.64100000000000001</v>
      </c>
      <c r="D6" s="5" t="s">
        <v>56</v>
      </c>
      <c r="E6" s="5">
        <v>3.4200000000000001E-2</v>
      </c>
      <c r="F6" s="5">
        <v>2E-3</v>
      </c>
      <c r="G6" s="5" t="s">
        <v>56</v>
      </c>
      <c r="H6" s="5" t="s">
        <v>56</v>
      </c>
      <c r="I6" s="5" t="s">
        <v>56</v>
      </c>
      <c r="J6" s="5" t="s">
        <v>56</v>
      </c>
      <c r="K6" s="5">
        <v>0.37269999999999998</v>
      </c>
      <c r="L6" s="5">
        <v>0.28860000000000002</v>
      </c>
      <c r="M6" s="5">
        <v>1.2999999999999999E-2</v>
      </c>
    </row>
    <row r="7" spans="1:13" x14ac:dyDescent="0.2">
      <c r="A7" s="7" t="s">
        <v>14</v>
      </c>
      <c r="B7" s="4">
        <v>0.73499999999999999</v>
      </c>
      <c r="C7" s="4">
        <v>0.39100000000000001</v>
      </c>
      <c r="D7" s="5">
        <v>1E-3</v>
      </c>
      <c r="E7" s="5">
        <v>4.8000000000000001E-2</v>
      </c>
      <c r="F7" s="5">
        <v>3.0000000000000001E-3</v>
      </c>
      <c r="G7" s="5" t="s">
        <v>56</v>
      </c>
      <c r="H7" s="5">
        <v>0.44400000000000001</v>
      </c>
      <c r="I7" s="5">
        <v>0.156</v>
      </c>
      <c r="J7" s="5" t="s">
        <v>56</v>
      </c>
      <c r="K7" s="5">
        <v>0.82099999999999995</v>
      </c>
      <c r="L7" s="5">
        <v>0.63900000000000001</v>
      </c>
      <c r="M7" s="5">
        <v>7.0000000000000001E-3</v>
      </c>
    </row>
    <row r="8" spans="1:13" x14ac:dyDescent="0.2">
      <c r="A8" s="7" t="s">
        <v>15</v>
      </c>
      <c r="B8" s="4">
        <v>0.73899999999999999</v>
      </c>
      <c r="C8" s="4">
        <v>0.39600000000000002</v>
      </c>
      <c r="D8" s="5" t="s">
        <v>56</v>
      </c>
      <c r="E8" s="5">
        <v>0.62</v>
      </c>
      <c r="F8" s="5">
        <v>0.19</v>
      </c>
      <c r="G8" s="5" t="s">
        <v>56</v>
      </c>
      <c r="H8" s="5">
        <v>0.996</v>
      </c>
      <c r="I8" s="5">
        <v>0.98799999999999999</v>
      </c>
      <c r="J8" s="5">
        <v>0.215</v>
      </c>
      <c r="K8" s="5">
        <v>0.97299999999999998</v>
      </c>
      <c r="L8" s="5">
        <v>0.86</v>
      </c>
      <c r="M8" s="5">
        <v>3.4000000000000002E-2</v>
      </c>
    </row>
    <row r="9" spans="1:13" x14ac:dyDescent="0.2">
      <c r="A9" s="7" t="s">
        <v>16</v>
      </c>
      <c r="B9" s="4">
        <v>0.496</v>
      </c>
      <c r="C9" s="4">
        <v>0.13300000000000001</v>
      </c>
      <c r="D9" s="5" t="s">
        <v>56</v>
      </c>
      <c r="E9" s="5" t="s">
        <v>56</v>
      </c>
      <c r="F9" s="5" t="s">
        <v>56</v>
      </c>
      <c r="G9" s="5" t="s">
        <v>56</v>
      </c>
      <c r="H9" s="5">
        <v>0.91959999999999997</v>
      </c>
      <c r="I9" s="5">
        <v>0.81789999999999996</v>
      </c>
      <c r="J9" s="5">
        <v>0.17699999999999999</v>
      </c>
      <c r="K9" s="5">
        <v>0.93689999999999996</v>
      </c>
      <c r="L9" s="5">
        <v>0.8659</v>
      </c>
      <c r="M9" s="5">
        <v>0.2452</v>
      </c>
    </row>
    <row r="10" spans="1:13" x14ac:dyDescent="0.2">
      <c r="A10" s="7" t="s">
        <v>17</v>
      </c>
      <c r="B10" s="4">
        <v>0.92900000000000005</v>
      </c>
      <c r="C10" s="4">
        <v>0.626</v>
      </c>
      <c r="D10" s="5" t="s">
        <v>56</v>
      </c>
      <c r="E10" s="5">
        <v>0.16320000000000001</v>
      </c>
      <c r="F10" s="5">
        <v>5.5100000000000003E-2</v>
      </c>
      <c r="G10" s="5">
        <v>2E-3</v>
      </c>
      <c r="H10" s="5">
        <v>0.47439999999999999</v>
      </c>
      <c r="I10" s="5">
        <v>0.39500000000000002</v>
      </c>
      <c r="J10" s="5">
        <v>0.28339999999999999</v>
      </c>
      <c r="K10" s="5">
        <v>2.3E-3</v>
      </c>
      <c r="L10" s="5" t="s">
        <v>56</v>
      </c>
      <c r="M10" s="5" t="s">
        <v>56</v>
      </c>
    </row>
    <row r="11" spans="1:13" x14ac:dyDescent="0.2">
      <c r="A11" s="7" t="s">
        <v>18</v>
      </c>
      <c r="B11" s="4">
        <v>2.1999999999999999E-2</v>
      </c>
      <c r="C11" s="4">
        <v>1E-3</v>
      </c>
      <c r="D11" s="5" t="s">
        <v>56</v>
      </c>
      <c r="E11" s="5">
        <v>0.498</v>
      </c>
      <c r="F11" s="5">
        <v>0.28299999999999997</v>
      </c>
      <c r="G11" s="5">
        <v>2.5999999999999999E-2</v>
      </c>
      <c r="H11" s="5" t="s">
        <v>57</v>
      </c>
      <c r="I11" s="5" t="s">
        <v>57</v>
      </c>
      <c r="J11" s="5">
        <v>0.26700000000000002</v>
      </c>
      <c r="K11" s="5">
        <v>0.41139999999999999</v>
      </c>
      <c r="L11" s="5">
        <v>0.14910000000000001</v>
      </c>
      <c r="M11" s="5" t="s">
        <v>56</v>
      </c>
    </row>
    <row r="12" spans="1:13" x14ac:dyDescent="0.2">
      <c r="A12" s="7" t="s">
        <v>19</v>
      </c>
      <c r="B12" s="4">
        <v>0.60660000000000003</v>
      </c>
      <c r="C12" s="4">
        <v>0.30930000000000002</v>
      </c>
      <c r="D12" s="5">
        <v>4.0000000000000001E-3</v>
      </c>
      <c r="E12" s="5">
        <v>0.46800000000000003</v>
      </c>
      <c r="F12" s="5">
        <v>0.317</v>
      </c>
      <c r="G12" s="5">
        <v>4.4999999999999998E-2</v>
      </c>
      <c r="H12" s="5" t="s">
        <v>57</v>
      </c>
      <c r="I12" s="5">
        <v>0.94799999999999995</v>
      </c>
      <c r="J12" s="5" t="s">
        <v>56</v>
      </c>
      <c r="K12" s="5">
        <v>0.96399999999999997</v>
      </c>
      <c r="L12" s="5">
        <v>0.56299999999999994</v>
      </c>
      <c r="M12" s="5" t="s">
        <v>56</v>
      </c>
    </row>
    <row r="13" spans="1:13" x14ac:dyDescent="0.2">
      <c r="A13" s="7" t="s">
        <v>20</v>
      </c>
      <c r="B13" s="4">
        <v>0.91049999999999998</v>
      </c>
      <c r="C13" s="4">
        <v>0.78669999999999995</v>
      </c>
      <c r="D13" s="5">
        <v>0.19320000000000001</v>
      </c>
      <c r="E13" s="5">
        <v>8.1000000000000003E-2</v>
      </c>
      <c r="F13" s="5">
        <v>0.02</v>
      </c>
      <c r="G13" s="5">
        <v>1E-3</v>
      </c>
      <c r="H13" s="5">
        <v>0.85289999999999999</v>
      </c>
      <c r="I13" s="5">
        <v>0.67869999999999997</v>
      </c>
      <c r="J13" s="5">
        <v>0.15720000000000001</v>
      </c>
      <c r="K13" s="5">
        <v>0.61699999999999999</v>
      </c>
      <c r="L13" s="5">
        <v>0.38900000000000001</v>
      </c>
      <c r="M13" s="5">
        <v>3.2000000000000001E-2</v>
      </c>
    </row>
    <row r="18" spans="1:4" x14ac:dyDescent="0.2">
      <c r="B18" s="6"/>
      <c r="C18" s="6"/>
      <c r="D18" s="6"/>
    </row>
    <row r="19" spans="1:4" x14ac:dyDescent="0.2">
      <c r="A19" s="7" t="s">
        <v>10</v>
      </c>
      <c r="B19" s="5"/>
      <c r="C19" s="5"/>
      <c r="D19" s="5"/>
    </row>
    <row r="20" spans="1:4" x14ac:dyDescent="0.2">
      <c r="A20" s="7" t="s">
        <v>11</v>
      </c>
      <c r="B20" s="5"/>
      <c r="C20" s="5"/>
      <c r="D20" s="5"/>
    </row>
    <row r="21" spans="1:4" x14ac:dyDescent="0.2">
      <c r="A21" s="7" t="s">
        <v>12</v>
      </c>
      <c r="B21" s="5"/>
      <c r="C21" s="5"/>
      <c r="D21" s="5"/>
    </row>
    <row r="22" spans="1:4" x14ac:dyDescent="0.2">
      <c r="A22" s="7" t="s">
        <v>13</v>
      </c>
      <c r="B22" s="5"/>
      <c r="C22" s="5"/>
      <c r="D22" s="5"/>
    </row>
    <row r="23" spans="1:4" x14ac:dyDescent="0.2">
      <c r="A23" s="7" t="s">
        <v>14</v>
      </c>
      <c r="B23" s="5"/>
      <c r="C23" s="5"/>
      <c r="D23" s="5"/>
    </row>
    <row r="24" spans="1:4" x14ac:dyDescent="0.2">
      <c r="A24" s="7" t="s">
        <v>15</v>
      </c>
      <c r="B24" s="5"/>
      <c r="C24" s="5"/>
      <c r="D24" s="5"/>
    </row>
    <row r="25" spans="1:4" x14ac:dyDescent="0.2">
      <c r="A25" s="7" t="s">
        <v>16</v>
      </c>
      <c r="B25" s="5"/>
      <c r="C25" s="5"/>
      <c r="D25" s="5"/>
    </row>
    <row r="26" spans="1:4" x14ac:dyDescent="0.2">
      <c r="A26" s="7" t="s">
        <v>17</v>
      </c>
      <c r="B26" s="5"/>
      <c r="C26" s="5"/>
      <c r="D26" s="5"/>
    </row>
    <row r="27" spans="1:4" x14ac:dyDescent="0.2">
      <c r="A27" s="7" t="s">
        <v>18</v>
      </c>
      <c r="B27" s="5"/>
      <c r="C27" s="5"/>
      <c r="D27" s="5"/>
    </row>
    <row r="28" spans="1:4" x14ac:dyDescent="0.2">
      <c r="A28" s="7" t="s">
        <v>19</v>
      </c>
      <c r="B28" s="5"/>
      <c r="C28" s="5"/>
      <c r="D28" s="5"/>
    </row>
    <row r="29" spans="1:4" x14ac:dyDescent="0.2">
      <c r="A29" s="7" t="s">
        <v>20</v>
      </c>
      <c r="B29" s="5"/>
      <c r="C29" s="5"/>
      <c r="D29" s="5"/>
    </row>
  </sheetData>
  <mergeCells count="4">
    <mergeCell ref="B1:D1"/>
    <mergeCell ref="E1:G1"/>
    <mergeCell ref="H1:J1"/>
    <mergeCell ref="K1:M1"/>
  </mergeCells>
  <conditionalFormatting sqref="B3:M13">
    <cfRule type="cellIs" dxfId="2" priority="2" operator="lessThan">
      <formula>0.051</formula>
    </cfRule>
    <cfRule type="cellIs" dxfId="1" priority="1" operator="equal">
      <formula>"&lt;0.001"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6890-E486-E944-88ED-19733CF87EA7}">
  <dimension ref="A1:F46"/>
  <sheetViews>
    <sheetView tabSelected="1" workbookViewId="0">
      <selection activeCell="P23" sqref="P23"/>
    </sheetView>
  </sheetViews>
  <sheetFormatPr baseColWidth="10" defaultRowHeight="15" x14ac:dyDescent="0.2"/>
  <cols>
    <col min="1" max="1" width="19.1640625" bestFit="1" customWidth="1"/>
  </cols>
  <sheetData>
    <row r="1" spans="1:6" x14ac:dyDescent="0.2">
      <c r="A1" t="s">
        <v>55</v>
      </c>
      <c r="B1" t="s">
        <v>71</v>
      </c>
      <c r="C1" t="s">
        <v>72</v>
      </c>
      <c r="D1" t="s">
        <v>73</v>
      </c>
      <c r="E1" t="s">
        <v>74</v>
      </c>
      <c r="F1" t="s">
        <v>75</v>
      </c>
    </row>
    <row r="2" spans="1:6" x14ac:dyDescent="0.2">
      <c r="A2" t="s">
        <v>10</v>
      </c>
      <c r="B2" t="s">
        <v>76</v>
      </c>
      <c r="C2">
        <v>2022</v>
      </c>
      <c r="D2">
        <v>38.799999999999997</v>
      </c>
      <c r="E2">
        <v>47.3</v>
      </c>
      <c r="F2">
        <f>E2-D2</f>
        <v>8.5</v>
      </c>
    </row>
    <row r="3" spans="1:6" x14ac:dyDescent="0.2">
      <c r="A3" t="s">
        <v>11</v>
      </c>
      <c r="B3" t="s">
        <v>76</v>
      </c>
      <c r="C3">
        <v>2022</v>
      </c>
      <c r="D3">
        <v>38.9</v>
      </c>
      <c r="E3">
        <v>44.8</v>
      </c>
      <c r="F3">
        <f>E3-D3</f>
        <v>5.8999999999999986</v>
      </c>
    </row>
    <row r="4" spans="1:6" x14ac:dyDescent="0.2">
      <c r="A4" t="s">
        <v>12</v>
      </c>
      <c r="B4" t="s">
        <v>76</v>
      </c>
      <c r="C4">
        <v>2022</v>
      </c>
      <c r="D4">
        <v>45.3</v>
      </c>
      <c r="E4">
        <v>44.3</v>
      </c>
      <c r="F4">
        <f>E4-D4</f>
        <v>-1</v>
      </c>
    </row>
    <row r="5" spans="1:6" x14ac:dyDescent="0.2">
      <c r="A5" t="s">
        <v>13</v>
      </c>
      <c r="B5" t="s">
        <v>76</v>
      </c>
      <c r="C5">
        <v>2022</v>
      </c>
      <c r="D5">
        <v>37.6</v>
      </c>
      <c r="E5">
        <v>42.5</v>
      </c>
      <c r="F5">
        <f>E5-D5</f>
        <v>4.8999999999999986</v>
      </c>
    </row>
    <row r="6" spans="1:6" x14ac:dyDescent="0.2">
      <c r="A6" t="s">
        <v>14</v>
      </c>
      <c r="B6" t="s">
        <v>76</v>
      </c>
      <c r="C6">
        <v>2022</v>
      </c>
      <c r="D6">
        <v>36.5</v>
      </c>
      <c r="E6">
        <v>43.5</v>
      </c>
      <c r="F6">
        <f>E6-D6</f>
        <v>7</v>
      </c>
    </row>
    <row r="7" spans="1:6" x14ac:dyDescent="0.2">
      <c r="A7" t="s">
        <v>15</v>
      </c>
      <c r="B7" t="s">
        <v>76</v>
      </c>
      <c r="C7">
        <v>2022</v>
      </c>
      <c r="D7">
        <v>44.5</v>
      </c>
      <c r="E7">
        <v>43.4</v>
      </c>
      <c r="F7">
        <f>E7-D7</f>
        <v>-1.1000000000000014</v>
      </c>
    </row>
    <row r="8" spans="1:6" x14ac:dyDescent="0.2">
      <c r="A8" t="s">
        <v>16</v>
      </c>
      <c r="B8" t="s">
        <v>76</v>
      </c>
      <c r="C8">
        <v>2022</v>
      </c>
      <c r="D8">
        <v>40.6</v>
      </c>
      <c r="E8">
        <v>44.5</v>
      </c>
      <c r="F8">
        <f>E8-D8</f>
        <v>3.8999999999999986</v>
      </c>
    </row>
    <row r="9" spans="1:6" x14ac:dyDescent="0.2">
      <c r="A9" t="s">
        <v>17</v>
      </c>
      <c r="B9" t="s">
        <v>76</v>
      </c>
      <c r="C9">
        <v>2022</v>
      </c>
      <c r="D9">
        <v>40.200000000000003</v>
      </c>
      <c r="E9">
        <v>42.6</v>
      </c>
      <c r="F9">
        <f>E9-D9</f>
        <v>2.3999999999999986</v>
      </c>
    </row>
    <row r="10" spans="1:6" x14ac:dyDescent="0.2">
      <c r="A10" t="s">
        <v>18</v>
      </c>
      <c r="B10" t="s">
        <v>76</v>
      </c>
      <c r="C10">
        <v>2022</v>
      </c>
      <c r="D10">
        <v>45.7</v>
      </c>
      <c r="E10">
        <v>46.5</v>
      </c>
      <c r="F10">
        <f>E10-D10</f>
        <v>0.79999999999999716</v>
      </c>
    </row>
    <row r="11" spans="1:6" x14ac:dyDescent="0.2">
      <c r="A11" t="s">
        <v>19</v>
      </c>
      <c r="B11" t="s">
        <v>76</v>
      </c>
      <c r="C11">
        <v>2022</v>
      </c>
      <c r="D11">
        <v>41.9</v>
      </c>
      <c r="E11">
        <v>44</v>
      </c>
      <c r="F11">
        <f>E11-D11</f>
        <v>2.1000000000000014</v>
      </c>
    </row>
    <row r="12" spans="1:6" x14ac:dyDescent="0.2">
      <c r="A12" t="s">
        <v>42</v>
      </c>
      <c r="B12" t="s">
        <v>76</v>
      </c>
      <c r="C12">
        <v>2022</v>
      </c>
      <c r="D12">
        <v>45.9</v>
      </c>
      <c r="E12">
        <v>40.6</v>
      </c>
      <c r="F12">
        <f>E12-D12</f>
        <v>-5.2999999999999972</v>
      </c>
    </row>
    <row r="13" spans="1:6" x14ac:dyDescent="0.2">
      <c r="A13" t="s">
        <v>10</v>
      </c>
      <c r="B13" t="s">
        <v>77</v>
      </c>
      <c r="C13">
        <v>2022</v>
      </c>
      <c r="D13">
        <v>38.799999999999997</v>
      </c>
      <c r="E13">
        <v>46.1</v>
      </c>
      <c r="F13">
        <f>E13-D13</f>
        <v>7.3000000000000043</v>
      </c>
    </row>
    <row r="14" spans="1:6" x14ac:dyDescent="0.2">
      <c r="A14" t="s">
        <v>11</v>
      </c>
      <c r="B14" t="s">
        <v>77</v>
      </c>
      <c r="C14">
        <v>2022</v>
      </c>
      <c r="D14">
        <v>38.9</v>
      </c>
      <c r="E14">
        <v>47.9</v>
      </c>
      <c r="F14">
        <f>E14-D14</f>
        <v>9</v>
      </c>
    </row>
    <row r="15" spans="1:6" x14ac:dyDescent="0.2">
      <c r="A15" t="s">
        <v>12</v>
      </c>
      <c r="B15" t="s">
        <v>77</v>
      </c>
      <c r="C15">
        <v>2022</v>
      </c>
      <c r="D15">
        <v>45.3</v>
      </c>
      <c r="E15">
        <v>47.9</v>
      </c>
      <c r="F15">
        <f>E15-D15</f>
        <v>2.6000000000000014</v>
      </c>
    </row>
    <row r="16" spans="1:6" x14ac:dyDescent="0.2">
      <c r="A16" t="s">
        <v>13</v>
      </c>
      <c r="B16" t="s">
        <v>77</v>
      </c>
      <c r="C16">
        <v>2022</v>
      </c>
      <c r="D16">
        <v>37.6</v>
      </c>
      <c r="E16">
        <v>47.5</v>
      </c>
      <c r="F16">
        <f>E16-D16</f>
        <v>9.8999999999999986</v>
      </c>
    </row>
    <row r="17" spans="1:6" x14ac:dyDescent="0.2">
      <c r="A17" t="s">
        <v>14</v>
      </c>
      <c r="B17" t="s">
        <v>77</v>
      </c>
      <c r="C17">
        <v>2022</v>
      </c>
      <c r="D17">
        <v>36.5</v>
      </c>
      <c r="E17">
        <v>46.2</v>
      </c>
      <c r="F17">
        <f>E17-D17</f>
        <v>9.7000000000000028</v>
      </c>
    </row>
    <row r="18" spans="1:6" x14ac:dyDescent="0.2">
      <c r="A18" t="s">
        <v>15</v>
      </c>
      <c r="B18" t="s">
        <v>77</v>
      </c>
      <c r="C18">
        <v>2022</v>
      </c>
      <c r="D18">
        <v>44.5</v>
      </c>
      <c r="E18">
        <v>44.2</v>
      </c>
      <c r="F18">
        <f>E18-D18</f>
        <v>-0.29999999999999716</v>
      </c>
    </row>
    <row r="19" spans="1:6" x14ac:dyDescent="0.2">
      <c r="A19" t="s">
        <v>16</v>
      </c>
      <c r="B19" t="s">
        <v>77</v>
      </c>
      <c r="C19">
        <v>2022</v>
      </c>
      <c r="D19">
        <v>40.6</v>
      </c>
      <c r="E19">
        <v>48.5</v>
      </c>
      <c r="F19">
        <f>E19-D19</f>
        <v>7.8999999999999986</v>
      </c>
    </row>
    <row r="20" spans="1:6" x14ac:dyDescent="0.2">
      <c r="A20" t="s">
        <v>17</v>
      </c>
      <c r="B20" t="s">
        <v>77</v>
      </c>
      <c r="C20">
        <v>2022</v>
      </c>
      <c r="D20">
        <v>40.200000000000003</v>
      </c>
      <c r="E20">
        <v>46.3</v>
      </c>
      <c r="F20">
        <f>E20-D20</f>
        <v>6.0999999999999943</v>
      </c>
    </row>
    <row r="21" spans="1:6" x14ac:dyDescent="0.2">
      <c r="A21" t="s">
        <v>18</v>
      </c>
      <c r="B21" t="s">
        <v>77</v>
      </c>
      <c r="C21">
        <v>2022</v>
      </c>
      <c r="D21">
        <v>45.7</v>
      </c>
      <c r="E21">
        <v>44.1</v>
      </c>
      <c r="F21">
        <f>E21-D21</f>
        <v>-1.6000000000000014</v>
      </c>
    </row>
    <row r="22" spans="1:6" x14ac:dyDescent="0.2">
      <c r="A22" t="s">
        <v>19</v>
      </c>
      <c r="B22" t="s">
        <v>77</v>
      </c>
      <c r="C22">
        <v>2022</v>
      </c>
      <c r="D22">
        <v>41.9</v>
      </c>
      <c r="E22">
        <v>43.9</v>
      </c>
      <c r="F22">
        <f>E22-D22</f>
        <v>2</v>
      </c>
    </row>
    <row r="23" spans="1:6" x14ac:dyDescent="0.2">
      <c r="A23" t="s">
        <v>42</v>
      </c>
      <c r="B23" t="s">
        <v>77</v>
      </c>
      <c r="C23">
        <v>2022</v>
      </c>
      <c r="D23">
        <v>45.9</v>
      </c>
      <c r="E23">
        <v>47.5</v>
      </c>
      <c r="F23">
        <f>E23-D23</f>
        <v>1.6000000000000014</v>
      </c>
    </row>
    <row r="25" spans="1:6" x14ac:dyDescent="0.2">
      <c r="A25" t="s">
        <v>10</v>
      </c>
      <c r="B25" t="s">
        <v>76</v>
      </c>
      <c r="C25">
        <v>2023</v>
      </c>
      <c r="D25">
        <v>43.5</v>
      </c>
      <c r="E25">
        <v>43.7</v>
      </c>
      <c r="F25">
        <f>E25-D25</f>
        <v>0.20000000000000284</v>
      </c>
    </row>
    <row r="26" spans="1:6" x14ac:dyDescent="0.2">
      <c r="A26" t="s">
        <v>11</v>
      </c>
      <c r="B26" t="s">
        <v>76</v>
      </c>
      <c r="C26">
        <v>2023</v>
      </c>
      <c r="D26">
        <v>38.700000000000003</v>
      </c>
      <c r="E26">
        <v>42.4</v>
      </c>
      <c r="F26">
        <f>E26-D26</f>
        <v>3.6999999999999957</v>
      </c>
    </row>
    <row r="27" spans="1:6" x14ac:dyDescent="0.2">
      <c r="A27" t="s">
        <v>12</v>
      </c>
      <c r="B27" t="s">
        <v>76</v>
      </c>
      <c r="C27">
        <v>2023</v>
      </c>
      <c r="D27">
        <v>41</v>
      </c>
      <c r="E27">
        <v>41.1</v>
      </c>
      <c r="F27">
        <f>E27-D27</f>
        <v>0.10000000000000142</v>
      </c>
    </row>
    <row r="28" spans="1:6" x14ac:dyDescent="0.2">
      <c r="A28" t="s">
        <v>13</v>
      </c>
      <c r="B28" t="s">
        <v>76</v>
      </c>
      <c r="C28">
        <v>2023</v>
      </c>
      <c r="D28">
        <v>40.799999999999997</v>
      </c>
      <c r="E28">
        <v>46.4</v>
      </c>
      <c r="F28">
        <f>E28-D28</f>
        <v>5.6000000000000014</v>
      </c>
    </row>
    <row r="29" spans="1:6" x14ac:dyDescent="0.2">
      <c r="A29" t="s">
        <v>14</v>
      </c>
      <c r="B29" t="s">
        <v>76</v>
      </c>
      <c r="C29">
        <v>2023</v>
      </c>
      <c r="D29">
        <v>38.700000000000003</v>
      </c>
      <c r="E29">
        <v>45.3</v>
      </c>
      <c r="F29">
        <f>E29-D29</f>
        <v>6.5999999999999943</v>
      </c>
    </row>
    <row r="30" spans="1:6" x14ac:dyDescent="0.2">
      <c r="A30" t="s">
        <v>15</v>
      </c>
      <c r="B30" t="s">
        <v>76</v>
      </c>
      <c r="C30">
        <v>2023</v>
      </c>
      <c r="D30">
        <v>44.8</v>
      </c>
      <c r="E30">
        <v>39.200000000000003</v>
      </c>
      <c r="F30">
        <f>E30-D30</f>
        <v>-5.5999999999999943</v>
      </c>
    </row>
    <row r="31" spans="1:6" x14ac:dyDescent="0.2">
      <c r="A31" t="s">
        <v>16</v>
      </c>
      <c r="B31" t="s">
        <v>76</v>
      </c>
      <c r="C31">
        <v>2023</v>
      </c>
      <c r="D31">
        <v>40.700000000000003</v>
      </c>
      <c r="E31">
        <v>40.4</v>
      </c>
      <c r="F31">
        <f>E31-D31</f>
        <v>-0.30000000000000426</v>
      </c>
    </row>
    <row r="32" spans="1:6" x14ac:dyDescent="0.2">
      <c r="A32" t="s">
        <v>17</v>
      </c>
      <c r="B32" t="s">
        <v>76</v>
      </c>
      <c r="C32">
        <v>2023</v>
      </c>
      <c r="D32">
        <v>39.5</v>
      </c>
      <c r="E32">
        <v>42.2</v>
      </c>
      <c r="F32">
        <f>E32-D32</f>
        <v>2.7000000000000028</v>
      </c>
    </row>
    <row r="33" spans="1:6" x14ac:dyDescent="0.2">
      <c r="A33" t="s">
        <v>18</v>
      </c>
      <c r="B33" t="s">
        <v>76</v>
      </c>
      <c r="C33">
        <v>2023</v>
      </c>
      <c r="D33">
        <v>43.5</v>
      </c>
      <c r="E33">
        <v>38.700000000000003</v>
      </c>
      <c r="F33">
        <f>E33-D33</f>
        <v>-4.7999999999999972</v>
      </c>
    </row>
    <row r="34" spans="1:6" x14ac:dyDescent="0.2">
      <c r="A34" t="s">
        <v>19</v>
      </c>
      <c r="B34" t="s">
        <v>76</v>
      </c>
      <c r="C34">
        <v>2023</v>
      </c>
      <c r="D34">
        <v>45.3</v>
      </c>
      <c r="E34">
        <v>41.9</v>
      </c>
      <c r="F34">
        <f>E34-D34</f>
        <v>-3.3999999999999986</v>
      </c>
    </row>
    <row r="35" spans="1:6" x14ac:dyDescent="0.2">
      <c r="A35" t="s">
        <v>42</v>
      </c>
      <c r="B35" t="s">
        <v>76</v>
      </c>
      <c r="C35">
        <v>2023</v>
      </c>
      <c r="D35">
        <v>42.1</v>
      </c>
      <c r="E35">
        <v>41.2</v>
      </c>
      <c r="F35">
        <f>E35-D35</f>
        <v>-0.89999999999999858</v>
      </c>
    </row>
    <row r="36" spans="1:6" x14ac:dyDescent="0.2">
      <c r="A36" t="s">
        <v>10</v>
      </c>
      <c r="B36" t="s">
        <v>77</v>
      </c>
      <c r="C36">
        <v>2023</v>
      </c>
      <c r="D36">
        <v>43.5</v>
      </c>
      <c r="E36">
        <v>43.7</v>
      </c>
      <c r="F36">
        <f>E36-D36</f>
        <v>0.20000000000000284</v>
      </c>
    </row>
    <row r="37" spans="1:6" x14ac:dyDescent="0.2">
      <c r="A37" t="s">
        <v>11</v>
      </c>
      <c r="B37" t="s">
        <v>77</v>
      </c>
      <c r="C37">
        <v>2023</v>
      </c>
      <c r="D37">
        <v>38.700000000000003</v>
      </c>
      <c r="E37">
        <v>44.4</v>
      </c>
      <c r="F37">
        <f>E37-D37</f>
        <v>5.6999999999999957</v>
      </c>
    </row>
    <row r="38" spans="1:6" x14ac:dyDescent="0.2">
      <c r="A38" t="s">
        <v>12</v>
      </c>
      <c r="B38" t="s">
        <v>77</v>
      </c>
      <c r="C38">
        <v>2023</v>
      </c>
      <c r="D38">
        <v>41</v>
      </c>
      <c r="E38">
        <v>44.2</v>
      </c>
      <c r="F38">
        <f>E38-D38</f>
        <v>3.2000000000000028</v>
      </c>
    </row>
    <row r="39" spans="1:6" x14ac:dyDescent="0.2">
      <c r="A39" t="s">
        <v>13</v>
      </c>
      <c r="B39" t="s">
        <v>77</v>
      </c>
      <c r="C39">
        <v>2023</v>
      </c>
      <c r="D39">
        <v>40.799999999999997</v>
      </c>
      <c r="E39">
        <v>45.5</v>
      </c>
      <c r="F39">
        <f>E39-D39</f>
        <v>4.7000000000000028</v>
      </c>
    </row>
    <row r="40" spans="1:6" x14ac:dyDescent="0.2">
      <c r="A40" t="s">
        <v>14</v>
      </c>
      <c r="B40" t="s">
        <v>77</v>
      </c>
      <c r="C40">
        <v>2023</v>
      </c>
      <c r="D40">
        <v>38.700000000000003</v>
      </c>
      <c r="E40">
        <v>42.7</v>
      </c>
      <c r="F40">
        <f>E40-D40</f>
        <v>4</v>
      </c>
    </row>
    <row r="41" spans="1:6" x14ac:dyDescent="0.2">
      <c r="A41" t="s">
        <v>15</v>
      </c>
      <c r="B41" t="s">
        <v>77</v>
      </c>
      <c r="C41">
        <v>2023</v>
      </c>
      <c r="D41">
        <v>44.8</v>
      </c>
      <c r="E41">
        <v>41.2</v>
      </c>
      <c r="F41">
        <f>E41-D41</f>
        <v>-3.5999999999999943</v>
      </c>
    </row>
    <row r="42" spans="1:6" x14ac:dyDescent="0.2">
      <c r="A42" t="s">
        <v>16</v>
      </c>
      <c r="B42" t="s">
        <v>77</v>
      </c>
      <c r="C42">
        <v>2023</v>
      </c>
      <c r="D42">
        <v>40.700000000000003</v>
      </c>
      <c r="E42">
        <v>39.9</v>
      </c>
      <c r="F42">
        <f>E42-D42</f>
        <v>-0.80000000000000426</v>
      </c>
    </row>
    <row r="43" spans="1:6" x14ac:dyDescent="0.2">
      <c r="A43" t="s">
        <v>17</v>
      </c>
      <c r="B43" t="s">
        <v>77</v>
      </c>
      <c r="C43">
        <v>2023</v>
      </c>
      <c r="D43">
        <v>39.5</v>
      </c>
      <c r="E43">
        <v>49.1</v>
      </c>
      <c r="F43">
        <f>E43-D43</f>
        <v>9.6000000000000014</v>
      </c>
    </row>
    <row r="44" spans="1:6" x14ac:dyDescent="0.2">
      <c r="A44" t="s">
        <v>18</v>
      </c>
      <c r="B44" t="s">
        <v>77</v>
      </c>
      <c r="C44">
        <v>2023</v>
      </c>
      <c r="D44">
        <v>43.5</v>
      </c>
      <c r="E44">
        <v>44.8</v>
      </c>
      <c r="F44">
        <f>E44-D44</f>
        <v>1.2999999999999972</v>
      </c>
    </row>
    <row r="45" spans="1:6" x14ac:dyDescent="0.2">
      <c r="A45" t="s">
        <v>19</v>
      </c>
      <c r="B45" t="s">
        <v>77</v>
      </c>
      <c r="C45">
        <v>2023</v>
      </c>
      <c r="D45">
        <v>45.3</v>
      </c>
      <c r="E45">
        <v>42.8</v>
      </c>
      <c r="F45">
        <f>E45-D45</f>
        <v>-2.5</v>
      </c>
    </row>
    <row r="46" spans="1:6" x14ac:dyDescent="0.2">
      <c r="A46" t="s">
        <v>42</v>
      </c>
      <c r="B46" t="s">
        <v>77</v>
      </c>
      <c r="C46">
        <v>2023</v>
      </c>
      <c r="D46">
        <v>42.1</v>
      </c>
      <c r="E46">
        <v>43.9</v>
      </c>
      <c r="F46">
        <f>E46-D46</f>
        <v>1.7999999999999972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June_2022</vt:lpstr>
      <vt:lpstr>June_2023</vt:lpstr>
      <vt:lpstr>July_2022</vt:lpstr>
      <vt:lpstr>July_2023</vt:lpstr>
      <vt:lpstr>Sept_2023</vt:lpstr>
      <vt:lpstr>leaf_June_2022</vt:lpstr>
      <vt:lpstr>leaf_July_2022</vt:lpstr>
      <vt:lpstr>leaf_June_2023</vt:lpstr>
      <vt:lpstr>leaf_July_2023</vt:lpstr>
      <vt:lpstr>Leaf temperature table</vt:lpstr>
      <vt:lpstr>Air temperature table</vt:lpstr>
      <vt:lpstr>Thermal Safety Margins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Joe Endris</cp:lastModifiedBy>
  <dcterms:created xsi:type="dcterms:W3CDTF">2023-10-11T20:22:52Z</dcterms:created>
  <dcterms:modified xsi:type="dcterms:W3CDTF">2023-11-15T20:37:08Z</dcterms:modified>
</cp:coreProperties>
</file>